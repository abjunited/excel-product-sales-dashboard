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BJUNITED\Documents\Desktop\"/>
    </mc:Choice>
  </mc:AlternateContent>
  <xr:revisionPtr revIDLastSave="0" documentId="13_ncr:1_{F59D2D7C-3D36-41C6-9E53-1FEE585BDB20}" xr6:coauthVersionLast="47" xr6:coauthVersionMax="47" xr10:uidLastSave="{00000000-0000-0000-0000-000000000000}"/>
  <bookViews>
    <workbookView xWindow="-120" yWindow="-120" windowWidth="24240" windowHeight="13740" activeTab="2" xr2:uid="{00000000-000D-0000-FFFF-FFFF00000000}"/>
  </bookViews>
  <sheets>
    <sheet name="Sample+Financial+Dataset+2022" sheetId="1" r:id="rId1"/>
    <sheet name="PIVOT" sheetId="2" r:id="rId2"/>
    <sheet name="DASHBOARD" sheetId="3" r:id="rId3"/>
  </sheets>
  <definedNames>
    <definedName name="Slicer_Country1">#N/A</definedName>
    <definedName name="Slicer_Discount_Band">#N/A</definedName>
    <definedName name="Slicer_Month_Name">#N/A</definedName>
    <definedName name="Slicer_Product">#N/A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2" l="1"/>
  <c r="D28" i="2"/>
  <c r="C28" i="2"/>
</calcChain>
</file>

<file path=xl/sharedStrings.xml><?xml version="1.0" encoding="utf-8"?>
<sst xmlns="http://schemas.openxmlformats.org/spreadsheetml/2006/main" count="963" uniqueCount="47">
  <si>
    <t>ID</t>
  </si>
  <si>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</si>
  <si>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</si>
  <si>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</si>
  <si>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</si>
  <si>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</si>
  <si>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</si>
  <si>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</si>
  <si>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</si>
  <si>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</si>
  <si>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</si>
  <si>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</si>
  <si>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</si>
  <si>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</si>
  <si>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</si>
  <si>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</si>
  <si>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</si>
  <si>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</si>
  <si>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</si>
  <si>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Paseo</t>
  </si>
  <si>
    <t>None</t>
  </si>
  <si>
    <t>November</t>
  </si>
  <si>
    <t>France</t>
  </si>
  <si>
    <t>VTT</t>
  </si>
  <si>
    <t>September</t>
  </si>
  <si>
    <t>Germany</t>
  </si>
  <si>
    <t>Velo</t>
  </si>
  <si>
    <t>Low</t>
  </si>
  <si>
    <t>October</t>
  </si>
  <si>
    <t>December</t>
  </si>
  <si>
    <t>Mexico</t>
  </si>
  <si>
    <t>Amarilla</t>
  </si>
  <si>
    <t>Montana</t>
  </si>
  <si>
    <t>Medium</t>
  </si>
  <si>
    <t>High</t>
  </si>
  <si>
    <t>Carretera</t>
  </si>
  <si>
    <t>Enterprise</t>
  </si>
  <si>
    <t>Channel Partners</t>
  </si>
  <si>
    <t>Small Business</t>
  </si>
  <si>
    <t>Midmarket</t>
  </si>
  <si>
    <t>Row Labels</t>
  </si>
  <si>
    <t>Grand Total</t>
  </si>
  <si>
    <t>Sum of  Sales</t>
  </si>
  <si>
    <t>Sum of Gross Sales</t>
  </si>
  <si>
    <t>Sum of Profit</t>
  </si>
  <si>
    <t>Sum of COGS</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</si>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</sst>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
    <numFmt numFmtId="166" formatCode="_([$$-409]* #,##0.00_);_([$$-409]* \(#,##0.00\);_([$$-4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65" fontId="0" fillId="0" borderId="0" xfId="0" applyNumberFormat="1"/>
    <xf numFmtId="0" fontId="0" fillId="33" borderId="0" xfId="0" applyFill="1" applyAlignment="1">
      <alignment horizontal="center" vertical="center"/>
    </xf>
    <xf numFmtId="0" fontId="0" fillId="34" borderId="0" xfId="0" applyFill="1"/>
    <xf numFmtId="0" fontId="0" fillId="34" borderId="0" xfId="0" applyFill="1" applyAlignmen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quot;$&quot;#,##0.00"/>
    </dxf>
    <dxf>
      <numFmt numFmtId="0" formatCode="General"/>
    </dxf>
    <dxf>
      <numFmt numFmtId="166" formatCode="_([$$-409]* #,##0.00_);_([$$-409]* \(#,##0.00\);_([$$-409]* &quot;-&quot;??_);_(@_)"/>
    </dxf>
    <dxf>
      <numFmt numFmtId="19" formatCode="m/d/yyyy"/>
    </dxf>
    <dxf>
      <font>
        <color theme="0"/>
        <name val="Bahnschrift SemiBold"/>
        <family val="2"/>
        <scheme val="none"/>
      </font>
    </dxf>
    <dxf>
      <font>
        <sz val="9"/>
        <name val="Bahnschrift SemiBold Condensed"/>
        <family val="2"/>
      </font>
      <fill>
        <patternFill>
          <bgColor theme="9" tint="-0.499984740745262"/>
        </patternFill>
      </fill>
    </dxf>
    <dxf>
      <font>
        <color theme="0" tint="-4.9989318521683403E-2"/>
        <name val="Bahnschrift SemiBold"/>
        <family val="2"/>
        <scheme val="none"/>
      </font>
    </dxf>
  </dxfs>
  <tableStyles count="2" defaultTableStyle="TableStyleMedium2" defaultPivotStyle="PivotStyleLight16">
    <tableStyle name="Slicer Style 1" pivot="0" table="0" count="1" xr9:uid="{006A97E0-6C6F-436A-A98C-AFEC2AABDC05}">
      <tableStyleElement type="wholeTable" dxfId="6"/>
    </tableStyle>
    <tableStyle name="Slicer Style 2" pivot="0" table="0" count="6" xr9:uid="{9ED9DD60-A1F5-43AA-941A-8950D83A1347}">
      <tableStyleElement type="wholeTable" dxfId="5"/>
      <tableStyleElement type="headerRow" dxfId="4"/>
    </tableStyle>
  </tableStyles>
  <colors>
    <mruColors>
      <color rgb="FFA9D18E"/>
      <color rgb="FF07AD47"/>
      <color rgb="FF217346"/>
      <color rgb="FF00B050"/>
      <color rgb="FF6DF36D"/>
    </mruColors>
  </colors>
  <extLst>
    <ext xmlns:x14="http://schemas.microsoft.com/office/spreadsheetml/2009/9/main" uri="{46F421CA-312F-682f-3DD2-61675219B42D}">
      <x14:dxfs count="4">
        <dxf>
          <fill>
            <patternFill>
              <bgColor theme="9" tint="-0.24994659260841701"/>
            </patternFill>
          </fill>
        </dxf>
        <dxf>
          <fill>
            <patternFill>
              <bgColor theme="9" tint="-0.24994659260841701"/>
            </patternFill>
          </fill>
        </dxf>
        <dxf>
          <fill>
            <patternFill>
              <bgColor theme="9" tint="0.79998168889431442"/>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Report.xlsx]PIVOT!PivotTable3</c:name>
    <c:fmtId val="3"/>
  </c:pivotSource>
  <c:chart>
    <c:title>
      <c:tx>
        <c:rich>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Total Sales by </a:t>
            </a:r>
            <a:r>
              <a:rPr lang="en-US" sz="1600" b="1" i="0" u="none" strike="noStrike" kern="1200" spc="0" baseline="0">
                <a:solidFill>
                  <a:schemeClr val="accent6">
                    <a:lumMod val="50000"/>
                  </a:schemeClr>
                </a:solidFill>
                <a:latin typeface="Bahnschrift SemiCondensed" panose="020B0502040204020203" pitchFamily="34" charset="0"/>
              </a:rPr>
              <a:t>Product </a:t>
            </a:r>
            <a:endParaRPr lang="en-US" sz="1600" b="1" i="0" u="none" strike="noStrike" kern="1200" spc="0" baseline="0">
              <a:solidFill>
                <a:schemeClr val="accent6">
                  <a:lumMod val="50000"/>
                </a:schemeClr>
              </a:solidFill>
              <a:latin typeface="Bahnschrift SemiCondensed" panose="020B0502040204020203" pitchFamily="34" charset="0"/>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accent6">
                      <a:lumMod val="50000"/>
                    </a:schemeClr>
                  </a:solidFill>
                  <a:latin typeface="Bahnschrift SemiCondense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PIVOT!$D$2:$D$8</c:f>
              <c:strCache>
                <c:ptCount val="6"/>
                <c:pt idx="0">
                  <c:v>Amarilla</c:v>
                </c:pt>
                <c:pt idx="1">
                  <c:v>Carretera</c:v>
                </c:pt>
                <c:pt idx="2">
                  <c:v>Montana</c:v>
                </c:pt>
                <c:pt idx="3">
                  <c:v>Paseo</c:v>
                </c:pt>
                <c:pt idx="4">
                  <c:v>Velo</c:v>
                </c:pt>
                <c:pt idx="5">
                  <c:v>VTT</c:v>
                </c:pt>
              </c:strCache>
            </c:strRef>
          </c:cat>
          <c:val>
            <c:numRef>
              <c:f>PIVOT!$E$2:$E$8</c:f>
              <c:numCache>
                <c:formatCode>"$"#,##0.00</c:formatCode>
                <c:ptCount val="6"/>
                <c:pt idx="0">
                  <c:v>3519132.5300000003</c:v>
                </c:pt>
                <c:pt idx="1">
                  <c:v>1406865.8599999999</c:v>
                </c:pt>
                <c:pt idx="2">
                  <c:v>3975783.04</c:v>
                </c:pt>
                <c:pt idx="3">
                  <c:v>5914747.0899999999</c:v>
                </c:pt>
                <c:pt idx="4">
                  <c:v>6197299.7599999998</c:v>
                </c:pt>
                <c:pt idx="5">
                  <c:v>5401427.2300000004</c:v>
                </c:pt>
              </c:numCache>
            </c:numRef>
          </c:val>
          <c:extLst>
            <c:ext xmlns:c16="http://schemas.microsoft.com/office/drawing/2014/chart" uri="{C3380CC4-5D6E-409C-BE32-E72D297353CC}">
              <c16:uniqueId val="{00000000-FFE4-4D6F-9C73-99B6F18332F9}"/>
            </c:ext>
          </c:extLst>
        </c:ser>
        <c:dLbls>
          <c:dLblPos val="outEnd"/>
          <c:showLegendKey val="0"/>
          <c:showVal val="1"/>
          <c:showCatName val="0"/>
          <c:showSerName val="0"/>
          <c:showPercent val="0"/>
          <c:showBubbleSize val="0"/>
        </c:dLbls>
        <c:gapWidth val="150"/>
        <c:axId val="2055303071"/>
        <c:axId val="2055306815"/>
      </c:barChart>
      <c:catAx>
        <c:axId val="205530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crossAx val="2055306815"/>
        <c:crosses val="autoZero"/>
        <c:auto val="1"/>
        <c:lblAlgn val="ctr"/>
        <c:lblOffset val="100"/>
        <c:noMultiLvlLbl val="0"/>
      </c:catAx>
      <c:valAx>
        <c:axId val="2055306815"/>
        <c:scaling>
          <c:orientation val="minMax"/>
        </c:scaling>
        <c:delete val="1"/>
        <c:axPos val="l"/>
        <c:numFmt formatCode="&quot;$&quot;#,##0.00" sourceLinked="1"/>
        <c:majorTickMark val="none"/>
        <c:minorTickMark val="none"/>
        <c:tickLblPos val="nextTo"/>
        <c:crossAx val="2055303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softEdge rad="31750"/>
    </a:effectLst>
  </c:spPr>
  <c:txPr>
    <a:bodyPr/>
    <a:lstStyle/>
    <a:p>
      <a:pPr>
        <a:defRPr lang="en-US" sz="1400" b="1">
          <a:solidFill>
            <a:schemeClr val="accent6">
              <a:lumMod val="50000"/>
            </a:schemeClr>
          </a:solidFill>
          <a:latin typeface="Bahnschrift SemiCondense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Report.xlsx]PIVOT!PivotTable5</c:name>
    <c:fmtId val="3"/>
  </c:pivotSource>
  <c:chart>
    <c:title>
      <c:tx>
        <c:rich>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Total </a:t>
            </a:r>
            <a:r>
              <a:rPr lang="en-US" sz="1600" b="1" i="0" u="none" strike="noStrike" kern="1200" spc="0" baseline="0">
                <a:solidFill>
                  <a:schemeClr val="accent6">
                    <a:lumMod val="50000"/>
                  </a:schemeClr>
                </a:solidFill>
                <a:latin typeface="Bahnschrift SemiCondensed" panose="020B0502040204020203" pitchFamily="34" charset="0"/>
              </a:rPr>
              <a:t>Profit by </a:t>
            </a: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Product</a:t>
            </a:r>
          </a:p>
        </c:rich>
      </c:tx>
      <c:layout>
        <c:manualLayout>
          <c:xMode val="edge"/>
          <c:yMode val="edge"/>
          <c:x val="0.28379959331022186"/>
          <c:y val="2.6936026936026935E-2"/>
        </c:manualLayout>
      </c:layout>
      <c:overlay val="0"/>
      <c:spPr>
        <a:noFill/>
        <a:ln>
          <a:noFill/>
        </a:ln>
        <a:effectLst/>
      </c:sp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Bahnschrift SemiBold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marker>
          <c:symbol val="none"/>
        </c:marker>
      </c:pivotFmt>
      <c:pivotFmt>
        <c:idx val="17"/>
        <c:spPr>
          <a:solidFill>
            <a:schemeClr val="accent6">
              <a:lumMod val="50000"/>
            </a:schemeClr>
          </a:solidFill>
          <a:ln>
            <a:noFill/>
          </a:ln>
          <a:effectLst/>
        </c:spPr>
        <c:marker>
          <c:symbol val="none"/>
        </c:marker>
      </c:pivotFmt>
      <c:pivotFmt>
        <c:idx val="18"/>
        <c:spPr>
          <a:solidFill>
            <a:schemeClr val="accent6">
              <a:lumMod val="50000"/>
            </a:schemeClr>
          </a:solidFill>
          <a:ln>
            <a:noFill/>
          </a:ln>
          <a:effectLst/>
        </c:spPr>
        <c:marker>
          <c:symbol val="none"/>
        </c:marker>
      </c:pivotFmt>
      <c:pivotFmt>
        <c:idx val="19"/>
        <c:spPr>
          <a:solidFill>
            <a:schemeClr val="accent6">
              <a:lumMod val="50000"/>
            </a:schemeClr>
          </a:solidFill>
          <a:ln>
            <a:noFill/>
          </a:ln>
          <a:effectLst/>
        </c:spPr>
        <c:marker>
          <c:symbol val="none"/>
        </c:marker>
      </c:pivotFmt>
      <c:pivotFmt>
        <c:idx val="2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50000"/>
            </a:schemeClr>
          </a:solidFill>
          <a:ln>
            <a:noFill/>
          </a:ln>
          <a:effectLst/>
        </c:spPr>
        <c:marker>
          <c:symbol val="none"/>
        </c:marker>
        <c:dLbl>
          <c:idx val="0"/>
          <c:spPr>
            <a:noFill/>
            <a:ln>
              <a:noFill/>
            </a:ln>
            <a:effectLst/>
          </c:spPr>
          <c:txPr>
            <a:bodyPr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c:f>
              <c:strCache>
                <c:ptCount val="1"/>
                <c:pt idx="0">
                  <c:v>Total</c:v>
                </c:pt>
              </c:strCache>
            </c:strRef>
          </c:tx>
          <c:spPr>
            <a:solidFill>
              <a:schemeClr val="accent6">
                <a:lumMod val="50000"/>
              </a:schemeClr>
            </a:solidFill>
            <a:ln>
              <a:noFill/>
            </a:ln>
            <a:effectLst/>
          </c:spPr>
          <c:invertIfNegative val="0"/>
          <c:dLbls>
            <c:spPr>
              <a:noFill/>
              <a:ln>
                <a:noFill/>
              </a:ln>
              <a:effectLst/>
            </c:spPr>
            <c:txPr>
              <a:bodyPr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PIVOT!$G$2:$G$8</c:f>
              <c:strCache>
                <c:ptCount val="6"/>
                <c:pt idx="0">
                  <c:v>Amarilla</c:v>
                </c:pt>
                <c:pt idx="1">
                  <c:v>Carretera</c:v>
                </c:pt>
                <c:pt idx="2">
                  <c:v>Montana</c:v>
                </c:pt>
                <c:pt idx="3">
                  <c:v>Paseo</c:v>
                </c:pt>
                <c:pt idx="4">
                  <c:v>Velo</c:v>
                </c:pt>
                <c:pt idx="5">
                  <c:v>VTT</c:v>
                </c:pt>
              </c:strCache>
            </c:strRef>
          </c:cat>
          <c:val>
            <c:numRef>
              <c:f>PIVOT!$H$2:$H$8</c:f>
              <c:numCache>
                <c:formatCode>"$"#,##0.00</c:formatCode>
                <c:ptCount val="6"/>
                <c:pt idx="0">
                  <c:v>781949.53</c:v>
                </c:pt>
                <c:pt idx="1">
                  <c:v>38768.86</c:v>
                </c:pt>
                <c:pt idx="2">
                  <c:v>457758.04000000004</c:v>
                </c:pt>
                <c:pt idx="3">
                  <c:v>1099853.0899999999</c:v>
                </c:pt>
                <c:pt idx="4">
                  <c:v>621949.76</c:v>
                </c:pt>
                <c:pt idx="5">
                  <c:v>878185.2300000001</c:v>
                </c:pt>
              </c:numCache>
            </c:numRef>
          </c:val>
          <c:extLst>
            <c:ext xmlns:c16="http://schemas.microsoft.com/office/drawing/2014/chart" uri="{C3380CC4-5D6E-409C-BE32-E72D297353CC}">
              <c16:uniqueId val="{00000007-E509-4568-87BA-3A5984A56AA2}"/>
            </c:ext>
          </c:extLst>
        </c:ser>
        <c:dLbls>
          <c:dLblPos val="outEnd"/>
          <c:showLegendKey val="0"/>
          <c:showVal val="1"/>
          <c:showCatName val="0"/>
          <c:showSerName val="0"/>
          <c:showPercent val="0"/>
          <c:showBubbleSize val="0"/>
        </c:dLbls>
        <c:gapWidth val="219"/>
        <c:overlap val="-27"/>
        <c:axId val="2055305151"/>
        <c:axId val="2055300159"/>
      </c:barChart>
      <c:catAx>
        <c:axId val="205530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crossAx val="2055300159"/>
        <c:crosses val="autoZero"/>
        <c:auto val="1"/>
        <c:lblAlgn val="ctr"/>
        <c:lblOffset val="100"/>
        <c:noMultiLvlLbl val="0"/>
      </c:catAx>
      <c:valAx>
        <c:axId val="2055300159"/>
        <c:scaling>
          <c:orientation val="minMax"/>
        </c:scaling>
        <c:delete val="1"/>
        <c:axPos val="l"/>
        <c:numFmt formatCode="&quot;$&quot;#,##0.00" sourceLinked="1"/>
        <c:majorTickMark val="none"/>
        <c:minorTickMark val="none"/>
        <c:tickLblPos val="nextTo"/>
        <c:crossAx val="2055305151"/>
        <c:crosses val="autoZero"/>
        <c:crossBetween val="between"/>
      </c:valAx>
    </c:plotArea>
    <c:plotVisOnly val="1"/>
    <c:dispBlanksAs val="gap"/>
    <c:showDLblsOverMax val="0"/>
  </c:chart>
  <c:spPr>
    <a:solidFill>
      <a:schemeClr val="bg1"/>
    </a:solidFill>
    <a:ln w="6350" cap="flat" cmpd="sng" algn="ctr">
      <a:noFill/>
      <a:prstDash val="solid"/>
      <a:round/>
    </a:ln>
    <a:effectLst>
      <a:outerShdw blurRad="63500" sx="102000" sy="102000" algn="ctr"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Report.xlsx]PIVOT!PivotTable12</c:name>
    <c:fmtId val="3"/>
  </c:pivotSource>
  <c:chart>
    <c:title>
      <c:tx>
        <c:rich>
          <a:bodyPr rot="0" spcFirstLastPara="1" vertOverflow="ellipsis" vert="horz" wrap="square" anchor="ctr" anchorCtr="1"/>
          <a:lstStyle/>
          <a:p>
            <a:pPr algn="ctr">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a:solidFill>
                  <a:schemeClr val="accent6">
                    <a:lumMod val="50000"/>
                  </a:schemeClr>
                </a:solidFill>
                <a:latin typeface="Bahnschrift SemiCondensed" panose="020B0502040204020203" pitchFamily="34" charset="0"/>
                <a:ea typeface="+mn-ea"/>
                <a:cs typeface="+mn-cs"/>
              </a:rPr>
              <a:t>Total Sales by Discount band</a:t>
            </a:r>
          </a:p>
        </c:rich>
      </c:tx>
      <c:overlay val="0"/>
      <c:spPr>
        <a:noFill/>
        <a:ln>
          <a:noFill/>
        </a:ln>
        <a:effectLst/>
      </c:spPr>
      <c:txPr>
        <a:bodyPr rot="0" spcFirstLastPara="1" vertOverflow="ellipsis" vert="horz" wrap="square" anchor="ctr" anchorCtr="1"/>
        <a:lstStyle/>
        <a:p>
          <a:pPr algn="ctr">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Bahnschrift Light SemiCondensed" panose="020B0502040204020203"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6">
              <a:lumMod val="50000"/>
            </a:schemeClr>
          </a:solidFill>
          <a:ln>
            <a:noFill/>
          </a:ln>
          <a:effectLst/>
        </c:spPr>
      </c:pivotFmt>
      <c:pivotFmt>
        <c:idx val="32"/>
        <c:spPr>
          <a:solidFill>
            <a:srgbClr val="6DF36D"/>
          </a:solidFill>
          <a:ln>
            <a:noFill/>
          </a:ln>
          <a:effectLst/>
        </c:spPr>
      </c:pivotFmt>
      <c:pivotFmt>
        <c:idx val="33"/>
        <c:spPr>
          <a:solidFill>
            <a:schemeClr val="accent6">
              <a:lumMod val="75000"/>
            </a:schemeClr>
          </a:solidFill>
          <a:ln>
            <a:noFill/>
          </a:ln>
          <a:effectLst/>
        </c:spPr>
      </c:pivotFmt>
      <c:pivotFmt>
        <c:idx val="34"/>
        <c:spPr>
          <a:solidFill>
            <a:srgbClr val="00B050"/>
          </a:solidFill>
          <a:ln>
            <a:noFill/>
          </a:ln>
          <a:effectLst/>
        </c:spPr>
      </c:pivotFmt>
    </c:pivotFmts>
    <c:plotArea>
      <c:layout/>
      <c:pieChart>
        <c:varyColors val="1"/>
        <c:ser>
          <c:idx val="0"/>
          <c:order val="0"/>
          <c:tx>
            <c:strRef>
              <c:f>PIVOT!$B$1</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0-FC2C-4C42-B198-091B56C63EDF}"/>
              </c:ext>
            </c:extLst>
          </c:dPt>
          <c:dPt>
            <c:idx val="1"/>
            <c:bubble3D val="0"/>
            <c:spPr>
              <a:solidFill>
                <a:srgbClr val="6DF36D"/>
              </a:solidFill>
              <a:ln>
                <a:noFill/>
              </a:ln>
              <a:effectLst/>
            </c:spPr>
            <c:extLst>
              <c:ext xmlns:c16="http://schemas.microsoft.com/office/drawing/2014/chart" uri="{C3380CC4-5D6E-409C-BE32-E72D297353CC}">
                <c16:uniqueId val="{00000003-FC2C-4C42-B198-091B56C63EDF}"/>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1-FC2C-4C42-B198-091B56C63EDF}"/>
              </c:ext>
            </c:extLst>
          </c:dPt>
          <c:dPt>
            <c:idx val="3"/>
            <c:bubble3D val="0"/>
            <c:spPr>
              <a:solidFill>
                <a:srgbClr val="00B050"/>
              </a:solidFill>
              <a:ln>
                <a:noFill/>
              </a:ln>
              <a:effectLst/>
            </c:spPr>
            <c:extLst>
              <c:ext xmlns:c16="http://schemas.microsoft.com/office/drawing/2014/chart" uri="{C3380CC4-5D6E-409C-BE32-E72D297353CC}">
                <c16:uniqueId val="{00000002-FC2C-4C42-B198-091B56C63EDF}"/>
              </c:ext>
            </c:extLst>
          </c:dPt>
          <c:dLbls>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PIVOT!$A$2:$A$6</c:f>
              <c:strCache>
                <c:ptCount val="4"/>
                <c:pt idx="0">
                  <c:v>High</c:v>
                </c:pt>
                <c:pt idx="1">
                  <c:v>Low</c:v>
                </c:pt>
                <c:pt idx="2">
                  <c:v>Medium</c:v>
                </c:pt>
                <c:pt idx="3">
                  <c:v>None</c:v>
                </c:pt>
              </c:strCache>
            </c:strRef>
          </c:cat>
          <c:val>
            <c:numRef>
              <c:f>PIVOT!$B$2:$B$6</c:f>
              <c:numCache>
                <c:formatCode>"$"#,##0.00</c:formatCode>
                <c:ptCount val="4"/>
                <c:pt idx="0">
                  <c:v>9554286.7799999993</c:v>
                </c:pt>
                <c:pt idx="1">
                  <c:v>6836698.0300000003</c:v>
                </c:pt>
                <c:pt idx="2">
                  <c:v>8511961.7000000011</c:v>
                </c:pt>
                <c:pt idx="3">
                  <c:v>1512309</c:v>
                </c:pt>
              </c:numCache>
            </c:numRef>
          </c:val>
          <c:extLst>
            <c:ext xmlns:c16="http://schemas.microsoft.com/office/drawing/2014/chart" uri="{C3380CC4-5D6E-409C-BE32-E72D297353CC}">
              <c16:uniqueId val="{00000000-1EE6-48AD-A345-78A22CB32093}"/>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chemeClr val="tx1">
          <a:alpha val="40000"/>
        </a:schemeClr>
      </a:outerShdw>
      <a:softEdge rad="12700"/>
    </a:effectLst>
  </c:spPr>
  <c:txPr>
    <a:bodyPr/>
    <a:lstStyle/>
    <a:p>
      <a:pPr algn="ctr">
        <a:defRPr lang="en-US" sz="900" b="1" i="0" u="none" strike="noStrike" kern="1200" baseline="0">
          <a:solidFill>
            <a:schemeClr val="tx1"/>
          </a:solidFill>
          <a:latin typeface="Bahnschrift Light SemiCondensed" panose="020B0502040204020203" pitchFamily="34" charset="0"/>
          <a:ea typeface="+mn-ea"/>
          <a:cs typeface="+mn-cs"/>
        </a:defRPr>
      </a:pPr>
      <a:endParaRPr lang="en-US"/>
    </a:p>
  </c:txPr>
  <c:printSettings>
    <c:headerFooter/>
    <c:pageMargins b="0.75" l="0.7" r="0.7" t="0.75" header="0.3" footer="0.3"/>
    <c:pageSetup paperSize="3" orientation="landscape"/>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Report.xlsx]PIVOT!PivotTable15</c:name>
    <c:fmtId val="8"/>
  </c:pivotSource>
  <c:chart>
    <c:title>
      <c:tx>
        <c:rich>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Total Sales by Segment</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pivotFmt>
      <c:pivotFmt>
        <c:idx val="9"/>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pivotFmt>
      <c:pivotFmt>
        <c:idx val="11"/>
        <c:spPr>
          <a:solidFill>
            <a:schemeClr val="accent6">
              <a:lumMod val="50000"/>
            </a:schemeClr>
          </a:solidFill>
          <a:ln>
            <a:noFill/>
          </a:ln>
          <a:effectLst/>
        </c:spPr>
        <c:marker>
          <c:symbol val="none"/>
        </c:marker>
      </c:pivotFmt>
      <c:pivotFmt>
        <c:idx val="12"/>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85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85723"/>
          </a:solidFill>
          <a:ln>
            <a:noFill/>
          </a:ln>
          <a:effectLst/>
        </c:spPr>
      </c:pivotFmt>
    </c:pivotFmts>
    <c:plotArea>
      <c:layout>
        <c:manualLayout>
          <c:layoutTarget val="inner"/>
          <c:xMode val="edge"/>
          <c:yMode val="edge"/>
          <c:x val="0.29089682918423082"/>
          <c:y val="0.19336132983377077"/>
          <c:w val="0.60328302712160975"/>
          <c:h val="0.73441644794400696"/>
        </c:manualLayout>
      </c:layout>
      <c:barChart>
        <c:barDir val="bar"/>
        <c:grouping val="clustered"/>
        <c:varyColors val="0"/>
        <c:ser>
          <c:idx val="0"/>
          <c:order val="0"/>
          <c:tx>
            <c:strRef>
              <c:f>PIVOT!$H$10</c:f>
              <c:strCache>
                <c:ptCount val="1"/>
                <c:pt idx="0">
                  <c:v>Total</c:v>
                </c:pt>
              </c:strCache>
            </c:strRef>
          </c:tx>
          <c:spPr>
            <a:solidFill>
              <a:srgbClr val="385723"/>
            </a:solidFill>
            <a:ln>
              <a:noFill/>
            </a:ln>
            <a:effectLst/>
          </c:spPr>
          <c:invertIfNegative val="1"/>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PIVOT!$G$11:$G$16</c:f>
              <c:strCache>
                <c:ptCount val="5"/>
                <c:pt idx="0">
                  <c:v>Channel Partners</c:v>
                </c:pt>
                <c:pt idx="1">
                  <c:v>Midmarket</c:v>
                </c:pt>
                <c:pt idx="2">
                  <c:v>Enterprise</c:v>
                </c:pt>
                <c:pt idx="3">
                  <c:v>Small Business</c:v>
                </c:pt>
                <c:pt idx="4">
                  <c:v>Government</c:v>
                </c:pt>
              </c:strCache>
            </c:strRef>
          </c:cat>
          <c:val>
            <c:numRef>
              <c:f>PIVOT!$H$11:$H$16</c:f>
              <c:numCache>
                <c:formatCode>"$"#,##0.00</c:formatCode>
                <c:ptCount val="5"/>
                <c:pt idx="0">
                  <c:v>398090.27999999997</c:v>
                </c:pt>
                <c:pt idx="1">
                  <c:v>546243.45000000007</c:v>
                </c:pt>
                <c:pt idx="2">
                  <c:v>4049562.5</c:v>
                </c:pt>
                <c:pt idx="3">
                  <c:v>8335674</c:v>
                </c:pt>
                <c:pt idx="4">
                  <c:v>13085685.280000001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B32-4B2E-8221-80712318733D}"/>
            </c:ext>
          </c:extLst>
        </c:ser>
        <c:dLbls>
          <c:showLegendKey val="0"/>
          <c:showVal val="0"/>
          <c:showCatName val="0"/>
          <c:showSerName val="0"/>
          <c:showPercent val="0"/>
          <c:showBubbleSize val="0"/>
        </c:dLbls>
        <c:gapWidth val="219"/>
        <c:axId val="907420288"/>
        <c:axId val="907421536"/>
      </c:barChart>
      <c:valAx>
        <c:axId val="907421536"/>
        <c:scaling>
          <c:orientation val="minMax"/>
        </c:scaling>
        <c:delete val="1"/>
        <c:axPos val="b"/>
        <c:numFmt formatCode="&quot;$&quot;#,##0.00" sourceLinked="1"/>
        <c:majorTickMark val="none"/>
        <c:minorTickMark val="none"/>
        <c:tickLblPos val="nextTo"/>
        <c:crossAx val="907420288"/>
        <c:crosses val="autoZero"/>
        <c:crossBetween val="between"/>
      </c:valAx>
      <c:catAx>
        <c:axId val="90742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crossAx val="90742153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Report.xlsx]PIVOT!PivotTable19</c:name>
    <c:fmtId val="11"/>
  </c:pivotSource>
  <c:chart>
    <c:title>
      <c:tx>
        <c:rich>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Total Sales by Month</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rgbClr val="00B050"/>
          </a:solidFill>
          <a:ln>
            <a:noFill/>
          </a:ln>
          <a:effectLst/>
        </c:spPr>
      </c:pivotFmt>
      <c:pivotFmt>
        <c:idx val="12"/>
        <c:spPr>
          <a:solidFill>
            <a:schemeClr val="accent6">
              <a:lumMod val="50000"/>
            </a:schemeClr>
          </a:solidFill>
          <a:ln>
            <a:noFill/>
          </a:ln>
          <a:effectLst/>
        </c:spPr>
      </c:pivotFmt>
      <c:pivotFmt>
        <c:idx val="13"/>
        <c:spPr>
          <a:solidFill>
            <a:schemeClr val="accent6">
              <a:lumMod val="75000"/>
            </a:schemeClr>
          </a:solidFill>
          <a:ln>
            <a:noFill/>
          </a:ln>
          <a:effectLst/>
        </c:spPr>
      </c:pivotFmt>
      <c:pivotFmt>
        <c:idx val="14"/>
        <c:spPr>
          <a:solidFill>
            <a:srgbClr val="6DF36D"/>
          </a:solidFill>
          <a:ln>
            <a:noFill/>
          </a:ln>
          <a:effectLst/>
        </c:spPr>
      </c:pivotFmt>
    </c:pivotFmts>
    <c:plotArea>
      <c:layout/>
      <c:pieChart>
        <c:varyColors val="1"/>
        <c:ser>
          <c:idx val="0"/>
          <c:order val="0"/>
          <c:tx>
            <c:strRef>
              <c:f>PIVOT!$H$18</c:f>
              <c:strCache>
                <c:ptCount val="1"/>
                <c:pt idx="0">
                  <c:v>Total</c:v>
                </c:pt>
              </c:strCache>
            </c:strRef>
          </c:tx>
          <c:dPt>
            <c:idx val="0"/>
            <c:bubble3D val="0"/>
            <c:spPr>
              <a:solidFill>
                <a:srgbClr val="00B050"/>
              </a:solidFill>
              <a:ln>
                <a:noFill/>
              </a:ln>
              <a:effectLst/>
            </c:spPr>
            <c:extLst>
              <c:ext xmlns:c16="http://schemas.microsoft.com/office/drawing/2014/chart" uri="{C3380CC4-5D6E-409C-BE32-E72D297353CC}">
                <c16:uniqueId val="{00000001-9BDC-425D-A6BC-A4ECD3F7B050}"/>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9BDC-425D-A6BC-A4ECD3F7B050}"/>
              </c:ext>
            </c:extLst>
          </c:dPt>
          <c:dPt>
            <c:idx val="2"/>
            <c:bubble3D val="0"/>
            <c:spPr>
              <a:solidFill>
                <a:schemeClr val="accent6">
                  <a:lumMod val="75000"/>
                </a:schemeClr>
              </a:solidFill>
              <a:ln>
                <a:noFill/>
              </a:ln>
              <a:effectLst/>
            </c:spPr>
            <c:extLst>
              <c:ext xmlns:c16="http://schemas.microsoft.com/office/drawing/2014/chart" uri="{C3380CC4-5D6E-409C-BE32-E72D297353CC}">
                <c16:uniqueId val="{00000005-9BDC-425D-A6BC-A4ECD3F7B050}"/>
              </c:ext>
            </c:extLst>
          </c:dPt>
          <c:dPt>
            <c:idx val="3"/>
            <c:bubble3D val="0"/>
            <c:spPr>
              <a:solidFill>
                <a:srgbClr val="6DF36D"/>
              </a:solidFill>
              <a:ln>
                <a:noFill/>
              </a:ln>
              <a:effectLst/>
            </c:spPr>
            <c:extLst>
              <c:ext xmlns:c16="http://schemas.microsoft.com/office/drawing/2014/chart" uri="{C3380CC4-5D6E-409C-BE32-E72D297353CC}">
                <c16:uniqueId val="{00000007-9BDC-425D-A6BC-A4ECD3F7B050}"/>
              </c:ext>
            </c:extLst>
          </c:dPt>
          <c:dLbls>
            <c:spPr>
              <a:noFill/>
              <a:ln>
                <a:noFill/>
              </a:ln>
              <a:effectLst/>
            </c:spPr>
            <c:txPr>
              <a:bodyPr rot="0" spcFirstLastPara="1" vertOverflow="ellipsis" vert="horz" wrap="square" anchor="ctr" anchorCtr="0"/>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PIVOT!$G$19:$G$23</c:f>
              <c:strCache>
                <c:ptCount val="4"/>
                <c:pt idx="0">
                  <c:v>September</c:v>
                </c:pt>
                <c:pt idx="1">
                  <c:v>October</c:v>
                </c:pt>
                <c:pt idx="2">
                  <c:v>November</c:v>
                </c:pt>
                <c:pt idx="3">
                  <c:v>December</c:v>
                </c:pt>
              </c:strCache>
            </c:strRef>
          </c:cat>
          <c:val>
            <c:numRef>
              <c:f>PIVOT!$H$19:$H$23</c:f>
              <c:numCache>
                <c:formatCode>"$"#,##0.00</c:formatCode>
                <c:ptCount val="4"/>
                <c:pt idx="0">
                  <c:v>4484000.0299999993</c:v>
                </c:pt>
                <c:pt idx="1">
                  <c:v>9295611.0999999978</c:v>
                </c:pt>
                <c:pt idx="2">
                  <c:v>7267203.2999999998</c:v>
                </c:pt>
                <c:pt idx="3">
                  <c:v>5368441.08</c:v>
                </c:pt>
              </c:numCache>
            </c:numRef>
          </c:val>
          <c:extLst>
            <c:ext xmlns:c16="http://schemas.microsoft.com/office/drawing/2014/chart" uri="{C3380CC4-5D6E-409C-BE32-E72D297353CC}">
              <c16:uniqueId val="{00000002-651F-4E29-9935-265F2839A3D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softEdge rad="12700"/>
    </a:effectLst>
  </c:spPr>
  <c:txPr>
    <a:bodyPr/>
    <a:lstStyle/>
    <a:p>
      <a:pPr algn="ctr">
        <a:defRPr lang="en-US" sz="900" b="1" i="0" u="none" strike="noStrike" kern="1200" baseline="0">
          <a:solidFill>
            <a:schemeClr val="tx1"/>
          </a:solidFill>
          <a:latin typeface="Bahnschrift Light SemiCondensed" panose="020B0502040204020203" pitchFamily="34" charset="0"/>
          <a:ea typeface="+mn-ea"/>
          <a:cs typeface="+mn-cs"/>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Report.xlsx]PIVOT!PivotTable11</c:name>
    <c:fmtId val="17"/>
  </c:pivotSource>
  <c:chart>
    <c:title>
      <c:tx>
        <c:rich>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r>
              <a:rPr lang="en-US" sz="1600" b="1" i="0" u="none" strike="noStrike" kern="1200" spc="0" baseline="0">
                <a:solidFill>
                  <a:schemeClr val="accent6">
                    <a:lumMod val="50000"/>
                  </a:schemeClr>
                </a:solidFill>
                <a:latin typeface="Bahnschrift SemiCondensed" panose="020B0502040204020203" pitchFamily="34" charset="0"/>
                <a:ea typeface="+mn-ea"/>
                <a:cs typeface="+mn-cs"/>
              </a:rPr>
              <a:t>Total Sales by Country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6">
                  <a:lumMod val="50000"/>
                </a:schemeClr>
              </a:solidFill>
              <a:latin typeface="Bahnschrift SemiCondense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PIVOT!$D$11:$D$16</c:f>
              <c:strCache>
                <c:ptCount val="5"/>
                <c:pt idx="0">
                  <c:v>Mexico</c:v>
                </c:pt>
                <c:pt idx="1">
                  <c:v>USA</c:v>
                </c:pt>
                <c:pt idx="2">
                  <c:v>France</c:v>
                </c:pt>
                <c:pt idx="3">
                  <c:v>Canada</c:v>
                </c:pt>
                <c:pt idx="4">
                  <c:v>Germany</c:v>
                </c:pt>
              </c:strCache>
            </c:strRef>
          </c:cat>
          <c:val>
            <c:numRef>
              <c:f>PIVOT!$E$11:$E$16</c:f>
              <c:numCache>
                <c:formatCode>"$"#,##0.00</c:formatCode>
                <c:ptCount val="5"/>
                <c:pt idx="0">
                  <c:v>4754421.2599999988</c:v>
                </c:pt>
                <c:pt idx="1">
                  <c:v>5124414.83</c:v>
                </c:pt>
                <c:pt idx="2">
                  <c:v>5132795.17</c:v>
                </c:pt>
                <c:pt idx="3">
                  <c:v>5175888.7800000012</c:v>
                </c:pt>
                <c:pt idx="4">
                  <c:v>6227735.4699999997</c:v>
                </c:pt>
              </c:numCache>
            </c:numRef>
          </c:val>
          <c:extLst>
            <c:ext xmlns:c16="http://schemas.microsoft.com/office/drawing/2014/chart" uri="{C3380CC4-5D6E-409C-BE32-E72D297353CC}">
              <c16:uniqueId val="{00000000-4168-460C-BD93-10A50C03111B}"/>
            </c:ext>
          </c:extLst>
        </c:ser>
        <c:dLbls>
          <c:dLblPos val="outEnd"/>
          <c:showLegendKey val="0"/>
          <c:showVal val="1"/>
          <c:showCatName val="0"/>
          <c:showSerName val="0"/>
          <c:showPercent val="0"/>
          <c:showBubbleSize val="0"/>
        </c:dLbls>
        <c:gapWidth val="219"/>
        <c:axId val="172943808"/>
        <c:axId val="172946208"/>
      </c:barChart>
      <c:catAx>
        <c:axId val="17294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crossAx val="172946208"/>
        <c:crosses val="autoZero"/>
        <c:auto val="1"/>
        <c:lblAlgn val="ctr"/>
        <c:lblOffset val="100"/>
        <c:noMultiLvlLbl val="0"/>
      </c:catAx>
      <c:valAx>
        <c:axId val="172946208"/>
        <c:scaling>
          <c:orientation val="minMax"/>
        </c:scaling>
        <c:delete val="1"/>
        <c:axPos val="b"/>
        <c:numFmt formatCode="&quot;$&quot;#,##0.00" sourceLinked="1"/>
        <c:majorTickMark val="none"/>
        <c:minorTickMark val="none"/>
        <c:tickLblPos val="nextTo"/>
        <c:crossAx val="17294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softEdge rad="12700"/>
    </a:effectLst>
  </c:spPr>
  <c:txPr>
    <a:bodyPr/>
    <a:lstStyle/>
    <a:p>
      <a:pPr algn="ctr">
        <a:defRPr lang="en-US" sz="800" b="1"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563880</xdr:colOff>
      <xdr:row>0</xdr:row>
      <xdr:rowOff>131064</xdr:rowOff>
    </xdr:from>
    <xdr:to>
      <xdr:col>18</xdr:col>
      <xdr:colOff>390528</xdr:colOff>
      <xdr:row>3</xdr:row>
      <xdr:rowOff>126111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659880" y="131064"/>
              <a:ext cx="4703448" cy="566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4</xdr:row>
      <xdr:rowOff>56769</xdr:rowOff>
    </xdr:from>
    <xdr:to>
      <xdr:col>13</xdr:col>
      <xdr:colOff>342900</xdr:colOff>
      <xdr:row>7</xdr:row>
      <xdr:rowOff>152019</xdr:rowOff>
    </xdr:to>
    <xdr:grpSp>
      <xdr:nvGrpSpPr>
        <xdr:cNvPr id="17" name="Group 16">
          <a:extLst>
            <a:ext uri="{FF2B5EF4-FFF2-40B4-BE49-F238E27FC236}">
              <a16:creationId xmlns:a16="http://schemas.microsoft.com/office/drawing/2014/main" id="{50B579BC-B2B9-D2B9-DB4A-77077A6E5696}"/>
            </a:ext>
          </a:extLst>
        </xdr:cNvPr>
        <xdr:cNvGrpSpPr/>
      </xdr:nvGrpSpPr>
      <xdr:grpSpPr>
        <a:xfrm>
          <a:off x="190500" y="818769"/>
          <a:ext cx="8077200" cy="666750"/>
          <a:chOff x="866775" y="819150"/>
          <a:chExt cx="8077200" cy="666750"/>
        </a:xfrm>
      </xdr:grpSpPr>
      <xdr:grpSp>
        <xdr:nvGrpSpPr>
          <xdr:cNvPr id="6" name="Group 5">
            <a:extLst>
              <a:ext uri="{FF2B5EF4-FFF2-40B4-BE49-F238E27FC236}">
                <a16:creationId xmlns:a16="http://schemas.microsoft.com/office/drawing/2014/main" id="{00000000-0008-0000-0200-000006000000}"/>
              </a:ext>
            </a:extLst>
          </xdr:cNvPr>
          <xdr:cNvGrpSpPr/>
        </xdr:nvGrpSpPr>
        <xdr:grpSpPr>
          <a:xfrm>
            <a:off x="866775" y="819150"/>
            <a:ext cx="1466850" cy="628650"/>
            <a:chOff x="257175" y="819150"/>
            <a:chExt cx="1466850" cy="628650"/>
          </a:xfrm>
          <a:solidFill>
            <a:schemeClr val="accent6">
              <a:lumMod val="50000"/>
            </a:schemeClr>
          </a:solidFill>
        </xdr:grpSpPr>
        <xdr:sp macro="" textlink="PIVOT!$A$22">
          <xdr:nvSpPr>
            <xdr:cNvPr id="2" name="Rounded Rectangle 1">
              <a:extLst>
                <a:ext uri="{FF2B5EF4-FFF2-40B4-BE49-F238E27FC236}">
                  <a16:creationId xmlns:a16="http://schemas.microsoft.com/office/drawing/2014/main" id="{00000000-0008-0000-0200-000002000000}"/>
                </a:ext>
              </a:extLst>
            </xdr:cNvPr>
            <xdr:cNvSpPr/>
          </xdr:nvSpPr>
          <xdr:spPr>
            <a:xfrm>
              <a:off x="257175" y="819150"/>
              <a:ext cx="1466850" cy="628650"/>
            </a:xfrm>
            <a:prstGeom prst="roundRect">
              <a:avLst/>
            </a:prstGeom>
            <a:grp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6C6D0F0-28EF-44B9-A51B-2306270CAC18}" type="TxLink">
                <a:rPr lang="en-US" sz="1400" b="0" i="0" u="none" strike="noStrike">
                  <a:solidFill>
                    <a:schemeClr val="bg1"/>
                  </a:solidFill>
                  <a:latin typeface="Bahnschrift SemiCondensed" panose="020B0502040204020203" pitchFamily="34" charset="0"/>
                  <a:cs typeface="Calibri"/>
                </a:rPr>
                <a:pPr algn="ctr"/>
                <a:t>$26,415,256</a:t>
              </a:fld>
              <a:endParaRPr lang="en-US" sz="1400">
                <a:solidFill>
                  <a:schemeClr val="bg1"/>
                </a:solidFill>
                <a:latin typeface="Bahnschrift SemiCondensed" panose="020B0502040204020203" pitchFamily="34" charset="0"/>
              </a:endParaRPr>
            </a:p>
          </xdr:txBody>
        </xdr:sp>
        <xdr:sp macro="" textlink="">
          <xdr:nvSpPr>
            <xdr:cNvPr id="5" name="Rectangle 4">
              <a:extLst>
                <a:ext uri="{FF2B5EF4-FFF2-40B4-BE49-F238E27FC236}">
                  <a16:creationId xmlns:a16="http://schemas.microsoft.com/office/drawing/2014/main" id="{00000000-0008-0000-0200-000005000000}"/>
                </a:ext>
              </a:extLst>
            </xdr:cNvPr>
            <xdr:cNvSpPr/>
          </xdr:nvSpPr>
          <xdr:spPr>
            <a:xfrm>
              <a:off x="342900" y="838200"/>
              <a:ext cx="1295401" cy="3333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Bahnschrift SemiCondensed" panose="020B0502040204020203" pitchFamily="34" charset="0"/>
                </a:rPr>
                <a:t>TOTAL</a:t>
              </a:r>
              <a:r>
                <a:rPr lang="en-US" sz="1400" b="1">
                  <a:solidFill>
                    <a:schemeClr val="accent6">
                      <a:lumMod val="50000"/>
                    </a:schemeClr>
                  </a:solidFill>
                  <a:latin typeface="Bahnschrift SemiCondensed" panose="020B0502040204020203" pitchFamily="34" charset="0"/>
                </a:rPr>
                <a:t> </a:t>
              </a:r>
              <a:r>
                <a:rPr lang="en-US" sz="1400" b="1">
                  <a:solidFill>
                    <a:schemeClr val="bg1"/>
                  </a:solidFill>
                  <a:latin typeface="Bahnschrift SemiCondensed" panose="020B0502040204020203" pitchFamily="34" charset="0"/>
                  <a:ea typeface="+mn-ea"/>
                  <a:cs typeface="+mn-cs"/>
                </a:rPr>
                <a:t>REVENUE</a:t>
              </a:r>
            </a:p>
          </xdr:txBody>
        </xdr:sp>
      </xdr:grpSp>
      <xdr:grpSp>
        <xdr:nvGrpSpPr>
          <xdr:cNvPr id="7" name="Group 6">
            <a:extLst>
              <a:ext uri="{FF2B5EF4-FFF2-40B4-BE49-F238E27FC236}">
                <a16:creationId xmlns:a16="http://schemas.microsoft.com/office/drawing/2014/main" id="{00000000-0008-0000-0200-000007000000}"/>
              </a:ext>
            </a:extLst>
          </xdr:cNvPr>
          <xdr:cNvGrpSpPr/>
        </xdr:nvGrpSpPr>
        <xdr:grpSpPr>
          <a:xfrm>
            <a:off x="2519363" y="838200"/>
            <a:ext cx="1466850" cy="628650"/>
            <a:chOff x="257175" y="819150"/>
            <a:chExt cx="1466850" cy="628650"/>
          </a:xfrm>
        </xdr:grpSpPr>
        <xdr:sp macro="" textlink="PIVOT!$A$24">
          <xdr:nvSpPr>
            <xdr:cNvPr id="8" name="Rounded Rectangle 7">
              <a:extLst>
                <a:ext uri="{FF2B5EF4-FFF2-40B4-BE49-F238E27FC236}">
                  <a16:creationId xmlns:a16="http://schemas.microsoft.com/office/drawing/2014/main" id="{00000000-0008-0000-0200-000008000000}"/>
                </a:ext>
              </a:extLst>
            </xdr:cNvPr>
            <xdr:cNvSpPr/>
          </xdr:nvSpPr>
          <xdr:spPr>
            <a:xfrm>
              <a:off x="257175" y="819150"/>
              <a:ext cx="1466850" cy="62865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E843EEC-1AD6-494D-9B9B-A54BA70F3978}" type="TxLink">
                <a:rPr lang="en-US" sz="1400" b="0" i="0" u="none" strike="noStrike">
                  <a:solidFill>
                    <a:schemeClr val="accent6">
                      <a:lumMod val="50000"/>
                    </a:schemeClr>
                  </a:solidFill>
                  <a:latin typeface="Bahnschrift SemiBold Condensed" panose="020B0502040204020203" pitchFamily="34" charset="0"/>
                  <a:cs typeface="Calibri"/>
                </a:rPr>
                <a:pPr algn="ctr"/>
                <a:t>$3,878,465</a:t>
              </a:fld>
              <a:endParaRPr lang="en-US" sz="1400" b="0">
                <a:solidFill>
                  <a:schemeClr val="accent6">
                    <a:lumMod val="50000"/>
                  </a:schemeClr>
                </a:solidFill>
                <a:latin typeface="Bahnschrift SemiBold Condensed" panose="020B0502040204020203" pitchFamily="34" charset="0"/>
              </a:endParaRPr>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342900" y="838200"/>
              <a:ext cx="1295401"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6">
                      <a:lumMod val="50000"/>
                    </a:schemeClr>
                  </a:solidFill>
                  <a:latin typeface="Bahnschrift SemiCondensed" panose="020B0502040204020203" pitchFamily="34" charset="0"/>
                  <a:ea typeface="+mn-ea"/>
                  <a:cs typeface="+mn-cs"/>
                </a:rPr>
                <a:t>TOTAL</a:t>
              </a:r>
              <a:r>
                <a:rPr lang="en-US" sz="1400" b="1">
                  <a:solidFill>
                    <a:schemeClr val="accent6">
                      <a:lumMod val="50000"/>
                    </a:schemeClr>
                  </a:solidFill>
                  <a:latin typeface="Bahnschrift SemiCondensed" panose="020B0502040204020203" pitchFamily="34" charset="0"/>
                </a:rPr>
                <a:t> PROFIT</a:t>
              </a:r>
            </a:p>
          </xdr:txBody>
        </xdr:sp>
      </xdr:grpSp>
      <xdr:grpSp>
        <xdr:nvGrpSpPr>
          <xdr:cNvPr id="10" name="Group 9">
            <a:extLst>
              <a:ext uri="{FF2B5EF4-FFF2-40B4-BE49-F238E27FC236}">
                <a16:creationId xmlns:a16="http://schemas.microsoft.com/office/drawing/2014/main" id="{00000000-0008-0000-0200-00000A000000}"/>
              </a:ext>
            </a:extLst>
          </xdr:cNvPr>
          <xdr:cNvGrpSpPr/>
        </xdr:nvGrpSpPr>
        <xdr:grpSpPr>
          <a:xfrm>
            <a:off x="4171950" y="828675"/>
            <a:ext cx="1466850" cy="628650"/>
            <a:chOff x="257175" y="819150"/>
            <a:chExt cx="1466850" cy="628650"/>
          </a:xfrm>
          <a:solidFill>
            <a:schemeClr val="accent6">
              <a:lumMod val="50000"/>
            </a:schemeClr>
          </a:solidFill>
        </xdr:grpSpPr>
        <xdr:sp macro="" textlink="PIVOT!$A$26">
          <xdr:nvSpPr>
            <xdr:cNvPr id="11" name="Rounded Rectangle 10">
              <a:extLst>
                <a:ext uri="{FF2B5EF4-FFF2-40B4-BE49-F238E27FC236}">
                  <a16:creationId xmlns:a16="http://schemas.microsoft.com/office/drawing/2014/main" id="{00000000-0008-0000-0200-00000B000000}"/>
                </a:ext>
              </a:extLst>
            </xdr:cNvPr>
            <xdr:cNvSpPr/>
          </xdr:nvSpPr>
          <xdr:spPr>
            <a:xfrm>
              <a:off x="257175" y="819150"/>
              <a:ext cx="1466850" cy="628650"/>
            </a:xfrm>
            <a:prstGeom prst="roundRect">
              <a:avLst/>
            </a:prstGeom>
            <a:grp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C0AA03F-695C-4C86-90CD-CE9074025D50}" type="TxLink">
                <a:rPr lang="en-US" sz="1400" b="0" i="0" u="none" strike="noStrike">
                  <a:solidFill>
                    <a:schemeClr val="bg1"/>
                  </a:solidFill>
                  <a:latin typeface="Bahnschrift SemiBold Condensed" panose="020B0502040204020203" pitchFamily="34" charset="0"/>
                  <a:cs typeface="Calibri"/>
                </a:rPr>
                <a:pPr algn="ctr"/>
                <a:t>$28,560,787</a:t>
              </a:fld>
              <a:endParaRPr lang="en-US" sz="1400">
                <a:solidFill>
                  <a:schemeClr val="bg1"/>
                </a:solidFill>
                <a:latin typeface="Bahnschrift SemiBold Condensed" panose="020B0502040204020203" pitchFamily="34" charset="0"/>
              </a:endParaRPr>
            </a:p>
          </xdr:txBody>
        </xdr:sp>
        <xdr:sp macro="" textlink="">
          <xdr:nvSpPr>
            <xdr:cNvPr id="12" name="Rectangle 11">
              <a:extLst>
                <a:ext uri="{FF2B5EF4-FFF2-40B4-BE49-F238E27FC236}">
                  <a16:creationId xmlns:a16="http://schemas.microsoft.com/office/drawing/2014/main" id="{00000000-0008-0000-0200-00000C000000}"/>
                </a:ext>
              </a:extLst>
            </xdr:cNvPr>
            <xdr:cNvSpPr/>
          </xdr:nvSpPr>
          <xdr:spPr>
            <a:xfrm>
              <a:off x="342900" y="838200"/>
              <a:ext cx="1295401" cy="3333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Bahnschrift SemiCondensed" panose="020B0502040204020203" pitchFamily="34" charset="0"/>
                  <a:ea typeface="+mn-ea"/>
                  <a:cs typeface="+mn-cs"/>
                </a:rPr>
                <a:t>TOTAL SALES</a:t>
              </a:r>
              <a:endParaRPr lang="en-US" sz="1400" b="1">
                <a:solidFill>
                  <a:schemeClr val="bg1"/>
                </a:solidFill>
                <a:latin typeface="Bahnschrift SemiCondensed" panose="020B0502040204020203" pitchFamily="34" charset="0"/>
              </a:endParaRPr>
            </a:p>
          </xdr:txBody>
        </xdr:sp>
      </xdr:grpSp>
      <xdr:grpSp>
        <xdr:nvGrpSpPr>
          <xdr:cNvPr id="13" name="Group 12">
            <a:extLst>
              <a:ext uri="{FF2B5EF4-FFF2-40B4-BE49-F238E27FC236}">
                <a16:creationId xmlns:a16="http://schemas.microsoft.com/office/drawing/2014/main" id="{00000000-0008-0000-0200-00000D000000}"/>
              </a:ext>
            </a:extLst>
          </xdr:cNvPr>
          <xdr:cNvGrpSpPr/>
        </xdr:nvGrpSpPr>
        <xdr:grpSpPr>
          <a:xfrm>
            <a:off x="5824538" y="857250"/>
            <a:ext cx="1466850" cy="628650"/>
            <a:chOff x="257175" y="819150"/>
            <a:chExt cx="1466850" cy="628650"/>
          </a:xfrm>
        </xdr:grpSpPr>
        <xdr:sp macro="" textlink="PIVOT!$A$28">
          <xdr:nvSpPr>
            <xdr:cNvPr id="14" name="Rounded Rectangle 13">
              <a:extLst>
                <a:ext uri="{FF2B5EF4-FFF2-40B4-BE49-F238E27FC236}">
                  <a16:creationId xmlns:a16="http://schemas.microsoft.com/office/drawing/2014/main" id="{00000000-0008-0000-0200-00000E000000}"/>
                </a:ext>
              </a:extLst>
            </xdr:cNvPr>
            <xdr:cNvSpPr/>
          </xdr:nvSpPr>
          <xdr:spPr>
            <a:xfrm>
              <a:off x="257175" y="819150"/>
              <a:ext cx="1466850" cy="62865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9E3E550-6775-4E62-A77B-F5E5F74213B3}" type="TxLink">
                <a:rPr lang="en-US" sz="1400" b="0" i="0" u="none" strike="noStrike">
                  <a:solidFill>
                    <a:schemeClr val="accent6">
                      <a:lumMod val="50000"/>
                    </a:schemeClr>
                  </a:solidFill>
                  <a:latin typeface="Bahnschrift SemiBold Condensed" panose="020B0502040204020203" pitchFamily="34" charset="0"/>
                  <a:cs typeface="Calibri"/>
                </a:rPr>
                <a:pPr algn="ctr"/>
                <a:t>$22,537,091</a:t>
              </a:fld>
              <a:endParaRPr lang="en-US" sz="1400" b="0">
                <a:solidFill>
                  <a:schemeClr val="accent6">
                    <a:lumMod val="50000"/>
                  </a:schemeClr>
                </a:solidFill>
                <a:latin typeface="Bahnschrift SemiBold Condensed" panose="020B0502040204020203" pitchFamily="34" charset="0"/>
              </a:endParaRPr>
            </a:p>
          </xdr:txBody>
        </xdr:sp>
        <xdr:sp macro="" textlink="">
          <xdr:nvSpPr>
            <xdr:cNvPr id="15" name="Rectangle 14">
              <a:extLst>
                <a:ext uri="{FF2B5EF4-FFF2-40B4-BE49-F238E27FC236}">
                  <a16:creationId xmlns:a16="http://schemas.microsoft.com/office/drawing/2014/main" id="{00000000-0008-0000-0200-00000F000000}"/>
                </a:ext>
              </a:extLst>
            </xdr:cNvPr>
            <xdr:cNvSpPr/>
          </xdr:nvSpPr>
          <xdr:spPr>
            <a:xfrm>
              <a:off x="342900" y="838200"/>
              <a:ext cx="1295401"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6">
                      <a:lumMod val="50000"/>
                    </a:schemeClr>
                  </a:solidFill>
                  <a:latin typeface="Bahnschrift SemiCondensed" panose="020B0502040204020203" pitchFamily="34" charset="0"/>
                </a:rPr>
                <a:t>TOTAL COGS</a:t>
              </a:r>
            </a:p>
          </xdr:txBody>
        </xdr:sp>
      </xdr:grpSp>
      <xdr:grpSp>
        <xdr:nvGrpSpPr>
          <xdr:cNvPr id="19" name="Group 18">
            <a:extLst>
              <a:ext uri="{FF2B5EF4-FFF2-40B4-BE49-F238E27FC236}">
                <a16:creationId xmlns:a16="http://schemas.microsoft.com/office/drawing/2014/main" id="{00000000-0008-0000-0200-000013000000}"/>
              </a:ext>
            </a:extLst>
          </xdr:cNvPr>
          <xdr:cNvGrpSpPr/>
        </xdr:nvGrpSpPr>
        <xdr:grpSpPr>
          <a:xfrm>
            <a:off x="7477125" y="857250"/>
            <a:ext cx="1466850" cy="628650"/>
            <a:chOff x="257175" y="819150"/>
            <a:chExt cx="1466850" cy="628650"/>
          </a:xfrm>
          <a:solidFill>
            <a:schemeClr val="accent6">
              <a:lumMod val="50000"/>
            </a:schemeClr>
          </a:solidFill>
        </xdr:grpSpPr>
        <xdr:sp macro="" textlink="PIVOT!$A$26">
          <xdr:nvSpPr>
            <xdr:cNvPr id="20" name="Rounded Rectangle 19">
              <a:extLst>
                <a:ext uri="{FF2B5EF4-FFF2-40B4-BE49-F238E27FC236}">
                  <a16:creationId xmlns:a16="http://schemas.microsoft.com/office/drawing/2014/main" id="{00000000-0008-0000-0200-000014000000}"/>
                </a:ext>
              </a:extLst>
            </xdr:cNvPr>
            <xdr:cNvSpPr/>
          </xdr:nvSpPr>
          <xdr:spPr>
            <a:xfrm>
              <a:off x="257175" y="819150"/>
              <a:ext cx="1466850" cy="628650"/>
            </a:xfrm>
            <a:prstGeom prst="roundRect">
              <a:avLst/>
            </a:prstGeom>
            <a:grp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C0AA03F-695C-4C86-90CD-CE9074025D50}" type="TxLink">
                <a:rPr lang="en-US" sz="1400" b="0" i="0" u="none" strike="noStrike">
                  <a:solidFill>
                    <a:schemeClr val="bg1"/>
                  </a:solidFill>
                  <a:latin typeface="Bahnschrift SemiBold Condensed" panose="020B0502040204020203" pitchFamily="34" charset="0"/>
                  <a:cs typeface="Calibri"/>
                </a:rPr>
                <a:pPr algn="ctr"/>
                <a:t>$28,560,787</a:t>
              </a:fld>
              <a:endParaRPr lang="en-US" sz="1400">
                <a:solidFill>
                  <a:schemeClr val="bg1"/>
                </a:solidFill>
                <a:latin typeface="Bahnschrift SemiBold Condensed" panose="020B0502040204020203" pitchFamily="34" charset="0"/>
              </a:endParaRPr>
            </a:p>
          </xdr:txBody>
        </xdr:sp>
        <xdr:sp macro="" textlink="">
          <xdr:nvSpPr>
            <xdr:cNvPr id="21" name="Rectangle 20">
              <a:extLst>
                <a:ext uri="{FF2B5EF4-FFF2-40B4-BE49-F238E27FC236}">
                  <a16:creationId xmlns:a16="http://schemas.microsoft.com/office/drawing/2014/main" id="{00000000-0008-0000-0200-000015000000}"/>
                </a:ext>
              </a:extLst>
            </xdr:cNvPr>
            <xdr:cNvSpPr/>
          </xdr:nvSpPr>
          <xdr:spPr>
            <a:xfrm>
              <a:off x="342900" y="838200"/>
              <a:ext cx="1295401" cy="3333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Bahnschrift SemiCondensed" panose="020B0502040204020203" pitchFamily="34" charset="0"/>
                </a:rPr>
                <a:t>GROSS SALES</a:t>
              </a:r>
            </a:p>
          </xdr:txBody>
        </xdr:sp>
      </xdr:grpSp>
    </xdr:grpSp>
    <xdr:clientData/>
  </xdr:twoCellAnchor>
  <xdr:twoCellAnchor>
    <xdr:from>
      <xdr:col>0</xdr:col>
      <xdr:colOff>95250</xdr:colOff>
      <xdr:row>21</xdr:row>
      <xdr:rowOff>133350</xdr:rowOff>
    </xdr:from>
    <xdr:to>
      <xdr:col>5</xdr:col>
      <xdr:colOff>247650</xdr:colOff>
      <xdr:row>34</xdr:row>
      <xdr:rowOff>34290</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21</xdr:row>
      <xdr:rowOff>146687</xdr:rowOff>
    </xdr:from>
    <xdr:to>
      <xdr:col>10</xdr:col>
      <xdr:colOff>523875</xdr:colOff>
      <xdr:row>34</xdr:row>
      <xdr:rowOff>47627</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8</xdr:row>
      <xdr:rowOff>101727</xdr:rowOff>
    </xdr:from>
    <xdr:to>
      <xdr:col>5</xdr:col>
      <xdr:colOff>276225</xdr:colOff>
      <xdr:row>21</xdr:row>
      <xdr:rowOff>2667</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66675</xdr:colOff>
      <xdr:row>8</xdr:row>
      <xdr:rowOff>137162</xdr:rowOff>
    </xdr:from>
    <xdr:to>
      <xdr:col>16</xdr:col>
      <xdr:colOff>219075</xdr:colOff>
      <xdr:row>21</xdr:row>
      <xdr:rowOff>38102</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400050</xdr:colOff>
      <xdr:row>8</xdr:row>
      <xdr:rowOff>114302</xdr:rowOff>
    </xdr:from>
    <xdr:to>
      <xdr:col>10</xdr:col>
      <xdr:colOff>552450</xdr:colOff>
      <xdr:row>21</xdr:row>
      <xdr:rowOff>15242</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133349</xdr:colOff>
      <xdr:row>0</xdr:row>
      <xdr:rowOff>66675</xdr:rowOff>
    </xdr:from>
    <xdr:to>
      <xdr:col>10</xdr:col>
      <xdr:colOff>433388</xdr:colOff>
      <xdr:row>3</xdr:row>
      <xdr:rowOff>126111</xdr:rowOff>
    </xdr:to>
    <xdr:sp macro="" textlink="">
      <xdr:nvSpPr>
        <xdr:cNvPr id="4" name="Rectangle: Rounded Corners 3">
          <a:extLst>
            <a:ext uri="{FF2B5EF4-FFF2-40B4-BE49-F238E27FC236}">
              <a16:creationId xmlns:a16="http://schemas.microsoft.com/office/drawing/2014/main" id="{51E938C2-433A-0758-1A1A-3145DF26578A}"/>
            </a:ext>
          </a:extLst>
        </xdr:cNvPr>
        <xdr:cNvSpPr/>
      </xdr:nvSpPr>
      <xdr:spPr>
        <a:xfrm>
          <a:off x="133349" y="66675"/>
          <a:ext cx="6396039" cy="630936"/>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3400">
              <a:latin typeface="Bahnschrift SemiBold Condensed" panose="020B0502040204020203" pitchFamily="34" charset="0"/>
            </a:rPr>
            <a:t>ABJUNITED</a:t>
          </a:r>
          <a:r>
            <a:rPr lang="en-US" sz="3400" baseline="0">
              <a:latin typeface="Bahnschrift SemiBold Condensed" panose="020B0502040204020203" pitchFamily="34" charset="0"/>
            </a:rPr>
            <a:t> </a:t>
          </a:r>
          <a:r>
            <a:rPr lang="en-US" sz="3400">
              <a:latin typeface="Bahnschrift SemiBold Condensed" panose="020B0502040204020203" pitchFamily="34" charset="0"/>
            </a:rPr>
            <a:t>PRODUCT SALES DASHBOARD</a:t>
          </a:r>
        </a:p>
      </xdr:txBody>
    </xdr:sp>
    <xdr:clientData/>
  </xdr:twoCellAnchor>
  <xdr:oneCellAnchor>
    <xdr:from>
      <xdr:col>19</xdr:col>
      <xdr:colOff>390525</xdr:colOff>
      <xdr:row>3</xdr:row>
      <xdr:rowOff>47625</xdr:rowOff>
    </xdr:from>
    <xdr:ext cx="184731" cy="264560"/>
    <xdr:sp macro="" textlink="">
      <xdr:nvSpPr>
        <xdr:cNvPr id="16" name="TextBox 15">
          <a:extLst>
            <a:ext uri="{FF2B5EF4-FFF2-40B4-BE49-F238E27FC236}">
              <a16:creationId xmlns:a16="http://schemas.microsoft.com/office/drawing/2014/main" id="{68DA2256-8C95-3B8E-6D7E-52B1A65DF78A}"/>
            </a:ext>
          </a:extLst>
        </xdr:cNvPr>
        <xdr:cNvSpPr txBox="1"/>
      </xdr:nvSpPr>
      <xdr:spPr>
        <a:xfrm>
          <a:off x="11972925" y="61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16</xdr:col>
      <xdr:colOff>342903</xdr:colOff>
      <xdr:row>11</xdr:row>
      <xdr:rowOff>175895</xdr:rowOff>
    </xdr:from>
    <xdr:to>
      <xdr:col>18</xdr:col>
      <xdr:colOff>403863</xdr:colOff>
      <xdr:row>19</xdr:row>
      <xdr:rowOff>69215</xdr:rowOff>
    </xdr:to>
    <mc:AlternateContent xmlns:mc="http://schemas.openxmlformats.org/markup-compatibility/2006" xmlns:a14="http://schemas.microsoft.com/office/drawing/2010/main">
      <mc:Choice Requires="a14">
        <xdr:graphicFrame macro="">
          <xdr:nvGraphicFramePr>
            <xdr:cNvPr id="18" name="Segment">
              <a:extLst>
                <a:ext uri="{FF2B5EF4-FFF2-40B4-BE49-F238E27FC236}">
                  <a16:creationId xmlns:a16="http://schemas.microsoft.com/office/drawing/2014/main" id="{03A93A67-8A40-4F35-9C00-02ECE880D6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096503" y="2271395"/>
              <a:ext cx="128016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340998</xdr:colOff>
      <xdr:row>19</xdr:row>
      <xdr:rowOff>130810</xdr:rowOff>
    </xdr:from>
    <xdr:to>
      <xdr:col>18</xdr:col>
      <xdr:colOff>390528</xdr:colOff>
      <xdr:row>27</xdr:row>
      <xdr:rowOff>24130</xdr:rowOff>
    </xdr:to>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BE4EA149-30BE-4958-AF11-169EC037D92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94598" y="3750310"/>
              <a:ext cx="1268730" cy="14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354333</xdr:colOff>
      <xdr:row>5</xdr:row>
      <xdr:rowOff>0</xdr:rowOff>
    </xdr:from>
    <xdr:to>
      <xdr:col>18</xdr:col>
      <xdr:colOff>403863</xdr:colOff>
      <xdr:row>11</xdr:row>
      <xdr:rowOff>97390</xdr:rowOff>
    </xdr:to>
    <mc:AlternateContent xmlns:mc="http://schemas.openxmlformats.org/markup-compatibility/2006" xmlns:a14="http://schemas.microsoft.com/office/drawing/2010/main">
      <mc:Choice Requires="a14">
        <xdr:graphicFrame macro="">
          <xdr:nvGraphicFramePr>
            <xdr:cNvPr id="25" name="Discount Band">
              <a:extLst>
                <a:ext uri="{FF2B5EF4-FFF2-40B4-BE49-F238E27FC236}">
                  <a16:creationId xmlns:a16="http://schemas.microsoft.com/office/drawing/2014/main" id="{F64F323D-3EAB-4254-AAEA-9F3CE13B5EDB}"/>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10107933" y="952500"/>
              <a:ext cx="1268730" cy="1240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340998</xdr:colOff>
      <xdr:row>27</xdr:row>
      <xdr:rowOff>85725</xdr:rowOff>
    </xdr:from>
    <xdr:to>
      <xdr:col>18</xdr:col>
      <xdr:colOff>390528</xdr:colOff>
      <xdr:row>33</xdr:row>
      <xdr:rowOff>131445</xdr:rowOff>
    </xdr:to>
    <mc:AlternateContent xmlns:mc="http://schemas.openxmlformats.org/markup-compatibility/2006" xmlns:a14="http://schemas.microsoft.com/office/drawing/2010/main">
      <mc:Choice Requires="a14">
        <xdr:graphicFrame macro="">
          <xdr:nvGraphicFramePr>
            <xdr:cNvPr id="26" name="Month Name">
              <a:extLst>
                <a:ext uri="{FF2B5EF4-FFF2-40B4-BE49-F238E27FC236}">
                  <a16:creationId xmlns:a16="http://schemas.microsoft.com/office/drawing/2014/main" id="{3EAC264D-E3B1-475D-B76E-4718E150B11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0094598" y="5229225"/>
              <a:ext cx="126873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478156</xdr:colOff>
      <xdr:row>4</xdr:row>
      <xdr:rowOff>123825</xdr:rowOff>
    </xdr:from>
    <xdr:to>
      <xdr:col>16</xdr:col>
      <xdr:colOff>112396</xdr:colOff>
      <xdr:row>7</xdr:row>
      <xdr:rowOff>183261</xdr:rowOff>
    </xdr:to>
    <xdr:grpSp>
      <xdr:nvGrpSpPr>
        <xdr:cNvPr id="40" name="Group 39">
          <a:extLst>
            <a:ext uri="{FF2B5EF4-FFF2-40B4-BE49-F238E27FC236}">
              <a16:creationId xmlns:a16="http://schemas.microsoft.com/office/drawing/2014/main" id="{9EE29FE7-5D76-C51D-843A-B926AD3DE2B3}"/>
            </a:ext>
          </a:extLst>
        </xdr:cNvPr>
        <xdr:cNvGrpSpPr/>
      </xdr:nvGrpSpPr>
      <xdr:grpSpPr>
        <a:xfrm>
          <a:off x="8402956" y="885825"/>
          <a:ext cx="1463040" cy="630936"/>
          <a:chOff x="8288656" y="876300"/>
          <a:chExt cx="1463040" cy="630936"/>
        </a:xfrm>
      </xdr:grpSpPr>
      <xdr:sp macro="" textlink="PIVOT!$C$28">
        <xdr:nvSpPr>
          <xdr:cNvPr id="36" name="Rounded Rectangle 19">
            <a:extLst>
              <a:ext uri="{FF2B5EF4-FFF2-40B4-BE49-F238E27FC236}">
                <a16:creationId xmlns:a16="http://schemas.microsoft.com/office/drawing/2014/main" id="{240FC057-0B08-416C-8BF3-1B5147BB7DA3}"/>
              </a:ext>
            </a:extLst>
          </xdr:cNvPr>
          <xdr:cNvSpPr/>
        </xdr:nvSpPr>
        <xdr:spPr>
          <a:xfrm>
            <a:off x="8288656" y="876300"/>
            <a:ext cx="1463040" cy="63093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33F53AF-DCCA-4112-AEFE-4C35ECDD0614}" type="TxLink">
              <a:rPr lang="en-US" sz="1400" b="1" i="0" u="none" strike="noStrike">
                <a:solidFill>
                  <a:schemeClr val="accent6">
                    <a:lumMod val="50000"/>
                  </a:schemeClr>
                </a:solidFill>
                <a:latin typeface="Bahnschrift SemiCondensed" panose="020B0502040204020203" pitchFamily="34" charset="0"/>
                <a:cs typeface="Calibri"/>
              </a:rPr>
              <a:pPr algn="ctr"/>
              <a:t>6</a:t>
            </a:fld>
            <a:endParaRPr lang="en-US" sz="1400" b="1">
              <a:solidFill>
                <a:schemeClr val="accent6">
                  <a:lumMod val="50000"/>
                </a:schemeClr>
              </a:solidFill>
              <a:latin typeface="Bahnschrift SemiCondensed" panose="020B0502040204020203" pitchFamily="34" charset="0"/>
            </a:endParaRPr>
          </a:p>
        </xdr:txBody>
      </xdr:sp>
      <xdr:sp macro="" textlink="">
        <xdr:nvSpPr>
          <xdr:cNvPr id="37" name="Rectangle 36">
            <a:extLst>
              <a:ext uri="{FF2B5EF4-FFF2-40B4-BE49-F238E27FC236}">
                <a16:creationId xmlns:a16="http://schemas.microsoft.com/office/drawing/2014/main" id="{10A352B5-C219-4B88-8207-B3BEDB4EB193}"/>
              </a:ext>
            </a:extLst>
          </xdr:cNvPr>
          <xdr:cNvSpPr/>
        </xdr:nvSpPr>
        <xdr:spPr>
          <a:xfrm>
            <a:off x="8362951" y="933450"/>
            <a:ext cx="1352550" cy="28574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6">
                    <a:lumMod val="50000"/>
                  </a:schemeClr>
                </a:solidFill>
                <a:latin typeface="Bahnschrift SemiBold SemiConden" panose="020B0502040204020203" pitchFamily="34" charset="0"/>
                <a:ea typeface="+mn-ea"/>
                <a:cs typeface="+mn-cs"/>
              </a:rPr>
              <a:t>Total Product</a:t>
            </a:r>
          </a:p>
        </xdr:txBody>
      </xdr:sp>
    </xdr:grpSp>
    <xdr:clientData/>
  </xdr:twoCellAnchor>
  <xdr:twoCellAnchor>
    <xdr:from>
      <xdr:col>11</xdr:col>
      <xdr:colOff>28575</xdr:colOff>
      <xdr:row>21</xdr:row>
      <xdr:rowOff>180975</xdr:rowOff>
    </xdr:from>
    <xdr:to>
      <xdr:col>16</xdr:col>
      <xdr:colOff>180975</xdr:colOff>
      <xdr:row>33</xdr:row>
      <xdr:rowOff>180975</xdr:rowOff>
    </xdr:to>
    <xdr:graphicFrame macro="">
      <xdr:nvGraphicFramePr>
        <xdr:cNvPr id="38" name="Chart 37">
          <a:extLst>
            <a:ext uri="{FF2B5EF4-FFF2-40B4-BE49-F238E27FC236}">
              <a16:creationId xmlns:a16="http://schemas.microsoft.com/office/drawing/2014/main" id="{1F2D455B-5FAB-4A2E-8452-361AA325C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252415</xdr:colOff>
      <xdr:row>0</xdr:row>
      <xdr:rowOff>171451</xdr:rowOff>
    </xdr:from>
    <xdr:to>
      <xdr:col>1</xdr:col>
      <xdr:colOff>123825</xdr:colOff>
      <xdr:row>3</xdr:row>
      <xdr:rowOff>80961</xdr:rowOff>
    </xdr:to>
    <xdr:pic>
      <xdr:nvPicPr>
        <xdr:cNvPr id="34" name="Picture 33">
          <a:extLst>
            <a:ext uri="{FF2B5EF4-FFF2-40B4-BE49-F238E27FC236}">
              <a16:creationId xmlns:a16="http://schemas.microsoft.com/office/drawing/2014/main" id="{B0519F9D-C715-FF77-663A-9388C46850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2415" y="171451"/>
          <a:ext cx="481010" cy="481010"/>
        </a:xfrm>
        <a:prstGeom prst="rect">
          <a:avLst/>
        </a:prstGeom>
        <a:effectLst>
          <a:outerShdw blurRad="63500" sx="102000" sy="102000" algn="ctr"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JUNITED" refreshedDate="46315.821282407407" createdVersion="6" refreshedVersion="8" minRefreshableVersion="3" recordCount="175" xr:uid="{00000000-000A-0000-FFFF-FFFF00000000}">
  <cacheSource type="worksheet">
    <worksheetSource name="Table1"/>
  </cacheSource>
  <cacheFields count="18">
    <cacheField name="ID" numFmtId="0">
      <sharedItems containsSemiMixedTypes="0" containsString="0" containsNumber="1" containsInteger="1" minValue="1" maxValue="175"/>
    </cacheField>
    <cacheField name="Segment" numFmtId="0">
      <sharedItems count="5">
        <s v="Government"/>
        <s v="Enterprise"/>
        <s v="Channel Partners"/>
        <s v="Small Business"/>
        <s v="Midmarket"/>
      </sharedItems>
    </cacheField>
    <cacheField name="Country" numFmtId="0">
      <sharedItems count="6">
        <s v="Canada"/>
        <s v="France"/>
        <s v="Germany"/>
        <s v="USA"/>
        <s v="Mexico"/>
        <s v="United States of America" u="1"/>
      </sharedItems>
    </cacheField>
    <cacheField name="Product" numFmtId="0">
      <sharedItems count="6">
        <s v="Paseo"/>
        <s v="VTT"/>
        <s v="Velo"/>
        <s v="Amarilla"/>
        <s v="Montana"/>
        <s v="Carretera"/>
      </sharedItems>
    </cacheField>
    <cacheField name="Discount Band" numFmtId="0">
      <sharedItems count="4">
        <s v="None"/>
        <s v="Low"/>
        <s v="Medium"/>
        <s v="High"/>
      </sharedItems>
    </cacheField>
    <cacheField name="Units Sold" numFmtId="0">
      <sharedItems containsSemiMixedTypes="0" containsString="0" containsNumber="1" containsInteger="1" minValue="214" maxValue="2996"/>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containsInteger="1" minValue="1841" maxValue="1038100"/>
    </cacheField>
    <cacheField name="Discounts" numFmtId="0">
      <sharedItems containsSemiMixedTypes="0" containsString="0" containsNumber="1" minValue="0" maxValue="115830"/>
    </cacheField>
    <cacheField name=" Sales" numFmtId="0">
      <sharedItems containsSemiMixedTypes="0" containsString="0" containsNumber="1" minValue="1730.54" maxValue="1017338"/>
    </cacheField>
    <cacheField name="COGS" numFmtId="0">
      <sharedItems containsSemiMixedTypes="0" containsString="0" containsNumber="1" containsInteger="1" minValue="918" maxValue="771160"/>
    </cacheField>
    <cacheField name="Profit" numFmtId="0">
      <sharedItems containsSemiMixedTypes="0" containsString="0" containsNumber="1" minValue="-40617.5" maxValue="246178"/>
    </cacheField>
    <cacheField name="Date" numFmtId="14">
      <sharedItems containsSemiMixedTypes="0" containsNonDate="0" containsDate="1" containsString="0" minDate="2023-09-01T00:00:00" maxDate="2023-12-02T00:00:00" count="4">
        <d v="2023-11-01T00:00:00"/>
        <d v="2023-09-01T00:00:00"/>
        <d v="2023-10-01T00:00:00"/>
        <d v="2023-12-01T00:00:00"/>
      </sharedItems>
      <fieldGroup par="17" base="13">
        <rangePr groupBy="days" startDate="2023-09-01T00:00:00" endDate="2023-12-02T00:00:00"/>
        <groupItems count="368">
          <s v="&lt;9/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3"/>
        </groupItems>
      </fieldGroup>
    </cacheField>
    <cacheField name="Month Number" numFmtId="0">
      <sharedItems containsSemiMixedTypes="0" containsString="0" containsNumber="1" containsInteger="1" minValue="9" maxValue="12"/>
    </cacheField>
    <cacheField name="Month Name" numFmtId="0">
      <sharedItems count="4">
        <s v="November"/>
        <s v="September"/>
        <s v="October"/>
        <s v="December"/>
      </sharedItems>
    </cacheField>
    <cacheField name="Year" numFmtId="0">
      <sharedItems containsSemiMixedTypes="0" containsString="0" containsNumber="1" containsInteger="1" minValue="2023" maxValue="2023"/>
    </cacheField>
    <cacheField name="Months" numFmtId="0" databaseField="0">
      <fieldGroup base="13">
        <rangePr groupBy="months" startDate="2023-09-01T00:00:00" endDate="2023-12-02T00:00:00"/>
        <groupItems count="14">
          <s v="&lt;9/1/2023"/>
          <s v="Jan"/>
          <s v="Feb"/>
          <s v="Mar"/>
          <s v="Apr"/>
          <s v="May"/>
          <s v="Jun"/>
          <s v="Jul"/>
          <s v="Aug"/>
          <s v="Sep"/>
          <s v="Oct"/>
          <s v="Nov"/>
          <s v="Dec"/>
          <s v="&gt;12/2/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
  <r>
    <n v="1"/>
    <x v="0"/>
    <x v="0"/>
    <x v="0"/>
    <x v="0"/>
    <n v="1725"/>
    <n v="10"/>
    <n v="350"/>
    <n v="603750"/>
    <n v="0"/>
    <n v="603750"/>
    <n v="448500"/>
    <n v="155250"/>
    <x v="0"/>
    <n v="11"/>
    <x v="0"/>
    <n v="2023"/>
  </r>
  <r>
    <n v="2"/>
    <x v="0"/>
    <x v="1"/>
    <x v="1"/>
    <x v="0"/>
    <n v="1527"/>
    <n v="250"/>
    <n v="350"/>
    <n v="534450"/>
    <n v="0"/>
    <n v="534450"/>
    <n v="397020"/>
    <n v="137430"/>
    <x v="1"/>
    <n v="9"/>
    <x v="1"/>
    <n v="2023"/>
  </r>
  <r>
    <n v="3"/>
    <x v="0"/>
    <x v="2"/>
    <x v="2"/>
    <x v="1"/>
    <n v="2966"/>
    <n v="120"/>
    <n v="350"/>
    <n v="1038100"/>
    <n v="20762"/>
    <n v="1017338"/>
    <n v="771160"/>
    <n v="246178"/>
    <x v="2"/>
    <n v="10"/>
    <x v="2"/>
    <n v="2023"/>
  </r>
  <r>
    <n v="4"/>
    <x v="0"/>
    <x v="3"/>
    <x v="1"/>
    <x v="1"/>
    <n v="266"/>
    <n v="250"/>
    <n v="350"/>
    <n v="93100"/>
    <n v="1862"/>
    <n v="91238"/>
    <n v="69160"/>
    <n v="22078"/>
    <x v="3"/>
    <n v="12"/>
    <x v="3"/>
    <n v="2023"/>
  </r>
  <r>
    <n v="5"/>
    <x v="0"/>
    <x v="4"/>
    <x v="1"/>
    <x v="1"/>
    <n v="1940"/>
    <n v="250"/>
    <n v="350"/>
    <n v="679000"/>
    <n v="13580"/>
    <n v="665420"/>
    <n v="504400"/>
    <n v="161020"/>
    <x v="3"/>
    <n v="12"/>
    <x v="3"/>
    <n v="2023"/>
  </r>
  <r>
    <n v="6"/>
    <x v="0"/>
    <x v="2"/>
    <x v="3"/>
    <x v="1"/>
    <n v="2966"/>
    <n v="260"/>
    <n v="350"/>
    <n v="1038100"/>
    <n v="20762"/>
    <n v="1017338"/>
    <n v="771160"/>
    <n v="246178"/>
    <x v="2"/>
    <n v="10"/>
    <x v="2"/>
    <n v="2023"/>
  </r>
  <r>
    <n v="7"/>
    <x v="0"/>
    <x v="2"/>
    <x v="4"/>
    <x v="1"/>
    <n v="1797"/>
    <n v="5"/>
    <n v="350"/>
    <n v="628950"/>
    <n v="18868.5"/>
    <n v="610081.5"/>
    <n v="467220"/>
    <n v="142861.5"/>
    <x v="1"/>
    <n v="9"/>
    <x v="1"/>
    <n v="2023"/>
  </r>
  <r>
    <n v="8"/>
    <x v="0"/>
    <x v="3"/>
    <x v="1"/>
    <x v="1"/>
    <n v="349"/>
    <n v="250"/>
    <n v="350"/>
    <n v="122150"/>
    <n v="4886"/>
    <n v="117264"/>
    <n v="90740"/>
    <n v="26524"/>
    <x v="1"/>
    <n v="9"/>
    <x v="1"/>
    <n v="2023"/>
  </r>
  <r>
    <n v="9"/>
    <x v="0"/>
    <x v="0"/>
    <x v="3"/>
    <x v="1"/>
    <n v="1778"/>
    <n v="260"/>
    <n v="350"/>
    <n v="622300"/>
    <n v="24892"/>
    <n v="597408"/>
    <n v="462280"/>
    <n v="135128"/>
    <x v="3"/>
    <n v="12"/>
    <x v="3"/>
    <n v="2023"/>
  </r>
  <r>
    <n v="10"/>
    <x v="0"/>
    <x v="4"/>
    <x v="4"/>
    <x v="2"/>
    <n v="720"/>
    <n v="5"/>
    <n v="350"/>
    <n v="252000"/>
    <n v="12600"/>
    <n v="239400"/>
    <n v="187200"/>
    <n v="52200"/>
    <x v="1"/>
    <n v="9"/>
    <x v="1"/>
    <n v="2023"/>
  </r>
  <r>
    <n v="11"/>
    <x v="0"/>
    <x v="0"/>
    <x v="0"/>
    <x v="2"/>
    <n v="1228"/>
    <n v="10"/>
    <n v="350"/>
    <n v="429800"/>
    <n v="21490"/>
    <n v="408310"/>
    <n v="319280"/>
    <n v="89030"/>
    <x v="2"/>
    <n v="10"/>
    <x v="2"/>
    <n v="2023"/>
  </r>
  <r>
    <n v="12"/>
    <x v="0"/>
    <x v="0"/>
    <x v="3"/>
    <x v="2"/>
    <n v="1228"/>
    <n v="260"/>
    <n v="350"/>
    <n v="429800"/>
    <n v="21490"/>
    <n v="408310"/>
    <n v="319280"/>
    <n v="89030"/>
    <x v="2"/>
    <n v="10"/>
    <x v="2"/>
    <n v="2023"/>
  </r>
  <r>
    <n v="13"/>
    <x v="0"/>
    <x v="3"/>
    <x v="0"/>
    <x v="2"/>
    <n v="727"/>
    <n v="10"/>
    <n v="350"/>
    <n v="254450"/>
    <n v="15267"/>
    <n v="239183"/>
    <n v="189020"/>
    <n v="50163"/>
    <x v="2"/>
    <n v="10"/>
    <x v="2"/>
    <n v="2023"/>
  </r>
  <r>
    <n v="14"/>
    <x v="0"/>
    <x v="1"/>
    <x v="2"/>
    <x v="2"/>
    <n v="2076"/>
    <n v="120"/>
    <n v="350"/>
    <n v="726600"/>
    <n v="43596"/>
    <n v="683004"/>
    <n v="539760"/>
    <n v="143244"/>
    <x v="2"/>
    <n v="10"/>
    <x v="2"/>
    <n v="2023"/>
  </r>
  <r>
    <n v="15"/>
    <x v="0"/>
    <x v="3"/>
    <x v="3"/>
    <x v="2"/>
    <n v="727"/>
    <n v="260"/>
    <n v="350"/>
    <n v="254450"/>
    <n v="15267"/>
    <n v="239183"/>
    <n v="189020"/>
    <n v="50163"/>
    <x v="2"/>
    <n v="10"/>
    <x v="2"/>
    <n v="2023"/>
  </r>
  <r>
    <n v="16"/>
    <x v="0"/>
    <x v="1"/>
    <x v="3"/>
    <x v="2"/>
    <n v="2076"/>
    <n v="260"/>
    <n v="350"/>
    <n v="726600"/>
    <n v="43596"/>
    <n v="683004"/>
    <n v="539760"/>
    <n v="143244"/>
    <x v="2"/>
    <n v="10"/>
    <x v="2"/>
    <n v="2023"/>
  </r>
  <r>
    <n v="17"/>
    <x v="0"/>
    <x v="2"/>
    <x v="0"/>
    <x v="2"/>
    <n v="2146"/>
    <n v="10"/>
    <n v="350"/>
    <n v="751100"/>
    <n v="60088"/>
    <n v="691012"/>
    <n v="557960"/>
    <n v="133052"/>
    <x v="0"/>
    <n v="11"/>
    <x v="0"/>
    <n v="2023"/>
  </r>
  <r>
    <n v="18"/>
    <x v="0"/>
    <x v="2"/>
    <x v="1"/>
    <x v="3"/>
    <n v="1870"/>
    <n v="250"/>
    <n v="350"/>
    <n v="654500"/>
    <n v="65450"/>
    <n v="589050"/>
    <n v="486200"/>
    <n v="102850"/>
    <x v="3"/>
    <n v="12"/>
    <x v="3"/>
    <n v="2023"/>
  </r>
  <r>
    <n v="19"/>
    <x v="0"/>
    <x v="4"/>
    <x v="2"/>
    <x v="3"/>
    <n v="344"/>
    <n v="120"/>
    <n v="350"/>
    <n v="120400"/>
    <n v="13244"/>
    <n v="107156"/>
    <n v="89440"/>
    <n v="17716"/>
    <x v="2"/>
    <n v="10"/>
    <x v="2"/>
    <n v="2023"/>
  </r>
  <r>
    <n v="20"/>
    <x v="0"/>
    <x v="4"/>
    <x v="3"/>
    <x v="3"/>
    <n v="344"/>
    <n v="260"/>
    <n v="350"/>
    <n v="120400"/>
    <n v="13244"/>
    <n v="107156"/>
    <n v="89440"/>
    <n v="17716"/>
    <x v="2"/>
    <n v="10"/>
    <x v="2"/>
    <n v="2023"/>
  </r>
  <r>
    <n v="21"/>
    <x v="0"/>
    <x v="0"/>
    <x v="1"/>
    <x v="3"/>
    <n v="623"/>
    <n v="250"/>
    <n v="350"/>
    <n v="218050"/>
    <n v="26166"/>
    <n v="191884"/>
    <n v="161980"/>
    <n v="29904"/>
    <x v="1"/>
    <n v="9"/>
    <x v="1"/>
    <n v="2023"/>
  </r>
  <r>
    <n v="22"/>
    <x v="0"/>
    <x v="1"/>
    <x v="0"/>
    <x v="3"/>
    <n v="1922"/>
    <n v="10"/>
    <n v="350"/>
    <n v="672700"/>
    <n v="94178"/>
    <n v="578522"/>
    <n v="499720"/>
    <n v="78802"/>
    <x v="0"/>
    <n v="11"/>
    <x v="0"/>
    <n v="2023"/>
  </r>
  <r>
    <n v="23"/>
    <x v="0"/>
    <x v="1"/>
    <x v="1"/>
    <x v="3"/>
    <n v="1281"/>
    <n v="250"/>
    <n v="350"/>
    <n v="448350"/>
    <n v="62769"/>
    <n v="385581"/>
    <n v="333060"/>
    <n v="52521"/>
    <x v="3"/>
    <n v="12"/>
    <x v="3"/>
    <n v="2023"/>
  </r>
  <r>
    <n v="24"/>
    <x v="0"/>
    <x v="3"/>
    <x v="0"/>
    <x v="3"/>
    <n v="2007"/>
    <n v="10"/>
    <n v="350"/>
    <n v="702450"/>
    <n v="105367.5"/>
    <n v="597082.5"/>
    <n v="521820"/>
    <n v="75262.5"/>
    <x v="0"/>
    <n v="11"/>
    <x v="0"/>
    <n v="2023"/>
  </r>
  <r>
    <n v="25"/>
    <x v="0"/>
    <x v="4"/>
    <x v="0"/>
    <x v="3"/>
    <n v="2151"/>
    <n v="10"/>
    <n v="350"/>
    <n v="752850"/>
    <n v="112927.5"/>
    <n v="639922.5"/>
    <n v="559260"/>
    <n v="80662.5"/>
    <x v="0"/>
    <n v="11"/>
    <x v="0"/>
    <n v="2023"/>
  </r>
  <r>
    <n v="26"/>
    <x v="0"/>
    <x v="4"/>
    <x v="2"/>
    <x v="1"/>
    <n v="544"/>
    <n v="120"/>
    <n v="20"/>
    <n v="10880"/>
    <n v="217.6"/>
    <n v="10662.4"/>
    <n v="5440"/>
    <n v="5222.3999999999996"/>
    <x v="3"/>
    <n v="12"/>
    <x v="3"/>
    <n v="2023"/>
  </r>
  <r>
    <n v="27"/>
    <x v="0"/>
    <x v="3"/>
    <x v="2"/>
    <x v="1"/>
    <n v="736"/>
    <n v="120"/>
    <n v="20"/>
    <n v="14720"/>
    <n v="588.79999999999995"/>
    <n v="14131.2"/>
    <n v="7360"/>
    <n v="6771.2"/>
    <x v="1"/>
    <n v="9"/>
    <x v="1"/>
    <n v="2023"/>
  </r>
  <r>
    <n v="28"/>
    <x v="0"/>
    <x v="0"/>
    <x v="2"/>
    <x v="1"/>
    <n v="2646"/>
    <n v="120"/>
    <n v="20"/>
    <n v="52920"/>
    <n v="2116.8000000000002"/>
    <n v="50803.199999999997"/>
    <n v="26460"/>
    <n v="24343.200000000001"/>
    <x v="1"/>
    <n v="9"/>
    <x v="1"/>
    <n v="2023"/>
  </r>
  <r>
    <n v="29"/>
    <x v="0"/>
    <x v="0"/>
    <x v="0"/>
    <x v="2"/>
    <n v="1389"/>
    <n v="10"/>
    <n v="20"/>
    <n v="27780"/>
    <n v="1389"/>
    <n v="26391"/>
    <n v="13890"/>
    <n v="12501"/>
    <x v="2"/>
    <n v="10"/>
    <x v="2"/>
    <n v="2023"/>
  </r>
  <r>
    <n v="30"/>
    <x v="0"/>
    <x v="0"/>
    <x v="0"/>
    <x v="2"/>
    <n v="1802"/>
    <n v="10"/>
    <n v="20"/>
    <n v="36040"/>
    <n v="1802"/>
    <n v="34238"/>
    <n v="18020"/>
    <n v="16218"/>
    <x v="3"/>
    <n v="12"/>
    <x v="3"/>
    <n v="2023"/>
  </r>
  <r>
    <n v="31"/>
    <x v="0"/>
    <x v="1"/>
    <x v="2"/>
    <x v="2"/>
    <n v="1033"/>
    <n v="120"/>
    <n v="20"/>
    <n v="20660"/>
    <n v="1033"/>
    <n v="19627"/>
    <n v="10330"/>
    <n v="9297"/>
    <x v="3"/>
    <n v="12"/>
    <x v="3"/>
    <n v="2023"/>
  </r>
  <r>
    <n v="32"/>
    <x v="0"/>
    <x v="0"/>
    <x v="1"/>
    <x v="2"/>
    <n v="1389"/>
    <n v="250"/>
    <n v="20"/>
    <n v="27780"/>
    <n v="1389"/>
    <n v="26391"/>
    <n v="13890"/>
    <n v="12501"/>
    <x v="2"/>
    <n v="10"/>
    <x v="2"/>
    <n v="2023"/>
  </r>
  <r>
    <n v="33"/>
    <x v="0"/>
    <x v="3"/>
    <x v="1"/>
    <x v="2"/>
    <n v="1265"/>
    <n v="250"/>
    <n v="20"/>
    <n v="25300"/>
    <n v="1265"/>
    <n v="24035"/>
    <n v="12650"/>
    <n v="11385"/>
    <x v="0"/>
    <n v="11"/>
    <x v="0"/>
    <n v="2023"/>
  </r>
  <r>
    <n v="34"/>
    <x v="0"/>
    <x v="2"/>
    <x v="1"/>
    <x v="2"/>
    <n v="2297"/>
    <n v="250"/>
    <n v="20"/>
    <n v="45940"/>
    <n v="2297"/>
    <n v="43643"/>
    <n v="22970"/>
    <n v="20673"/>
    <x v="0"/>
    <n v="11"/>
    <x v="0"/>
    <n v="2023"/>
  </r>
  <r>
    <n v="35"/>
    <x v="0"/>
    <x v="4"/>
    <x v="1"/>
    <x v="2"/>
    <n v="1123"/>
    <n v="250"/>
    <n v="20"/>
    <n v="22460"/>
    <n v="1347.6"/>
    <n v="21112.400000000001"/>
    <n v="11230"/>
    <n v="9882.4"/>
    <x v="0"/>
    <n v="11"/>
    <x v="0"/>
    <n v="2023"/>
  </r>
  <r>
    <n v="36"/>
    <x v="0"/>
    <x v="1"/>
    <x v="4"/>
    <x v="2"/>
    <n v="1757"/>
    <n v="5"/>
    <n v="20"/>
    <n v="35140"/>
    <n v="2108.4"/>
    <n v="33031.599999999999"/>
    <n v="17570"/>
    <n v="15461.6"/>
    <x v="2"/>
    <n v="10"/>
    <x v="2"/>
    <n v="2023"/>
  </r>
  <r>
    <n v="37"/>
    <x v="0"/>
    <x v="1"/>
    <x v="0"/>
    <x v="2"/>
    <n v="1757"/>
    <n v="10"/>
    <n v="20"/>
    <n v="35140"/>
    <n v="2108.4"/>
    <n v="33031.599999999999"/>
    <n v="17570"/>
    <n v="15461.6"/>
    <x v="2"/>
    <n v="10"/>
    <x v="2"/>
    <n v="2023"/>
  </r>
  <r>
    <n v="38"/>
    <x v="0"/>
    <x v="4"/>
    <x v="5"/>
    <x v="2"/>
    <n v="1834"/>
    <n v="3"/>
    <n v="20"/>
    <n v="36680"/>
    <n v="2567.6"/>
    <n v="34112.400000000001"/>
    <n v="18340"/>
    <n v="15772.4"/>
    <x v="1"/>
    <n v="9"/>
    <x v="1"/>
    <n v="2023"/>
  </r>
  <r>
    <n v="39"/>
    <x v="0"/>
    <x v="3"/>
    <x v="2"/>
    <x v="2"/>
    <n v="1421"/>
    <n v="120"/>
    <n v="20"/>
    <n v="28420"/>
    <n v="1989.4"/>
    <n v="26430.6"/>
    <n v="14210"/>
    <n v="12220.6"/>
    <x v="3"/>
    <n v="12"/>
    <x v="3"/>
    <n v="2023"/>
  </r>
  <r>
    <n v="40"/>
    <x v="0"/>
    <x v="2"/>
    <x v="2"/>
    <x v="2"/>
    <n v="588"/>
    <n v="120"/>
    <n v="20"/>
    <n v="11760"/>
    <n v="823.2"/>
    <n v="10936.8"/>
    <n v="5880"/>
    <n v="5056.8"/>
    <x v="3"/>
    <n v="12"/>
    <x v="3"/>
    <n v="2023"/>
  </r>
  <r>
    <n v="41"/>
    <x v="0"/>
    <x v="1"/>
    <x v="1"/>
    <x v="2"/>
    <n v="2682"/>
    <n v="250"/>
    <n v="20"/>
    <n v="53640"/>
    <n v="4827.6000000000004"/>
    <n v="48812.4"/>
    <n v="26820"/>
    <n v="21992.400000000001"/>
    <x v="0"/>
    <n v="11"/>
    <x v="0"/>
    <n v="2023"/>
  </r>
  <r>
    <n v="42"/>
    <x v="0"/>
    <x v="2"/>
    <x v="4"/>
    <x v="3"/>
    <n v="2992"/>
    <n v="5"/>
    <n v="20"/>
    <n v="59840"/>
    <n v="6582.4"/>
    <n v="53257.599999999999"/>
    <n v="29920"/>
    <n v="23337.599999999999"/>
    <x v="2"/>
    <n v="10"/>
    <x v="2"/>
    <n v="2023"/>
  </r>
  <r>
    <n v="43"/>
    <x v="0"/>
    <x v="2"/>
    <x v="0"/>
    <x v="3"/>
    <n v="2992"/>
    <n v="10"/>
    <n v="20"/>
    <n v="59840"/>
    <n v="6582.4"/>
    <n v="53257.599999999999"/>
    <n v="29920"/>
    <n v="23337.599999999999"/>
    <x v="2"/>
    <n v="10"/>
    <x v="2"/>
    <n v="2023"/>
  </r>
  <r>
    <n v="44"/>
    <x v="0"/>
    <x v="1"/>
    <x v="2"/>
    <x v="3"/>
    <n v="2805"/>
    <n v="120"/>
    <n v="20"/>
    <n v="56100"/>
    <n v="6171"/>
    <n v="49929"/>
    <n v="28050"/>
    <n v="21879"/>
    <x v="1"/>
    <n v="9"/>
    <x v="1"/>
    <n v="2023"/>
  </r>
  <r>
    <n v="45"/>
    <x v="0"/>
    <x v="0"/>
    <x v="1"/>
    <x v="3"/>
    <n v="2935"/>
    <n v="250"/>
    <n v="20"/>
    <n v="58700"/>
    <n v="6457"/>
    <n v="52243"/>
    <n v="29350"/>
    <n v="22893"/>
    <x v="0"/>
    <n v="11"/>
    <x v="0"/>
    <n v="2023"/>
  </r>
  <r>
    <n v="46"/>
    <x v="0"/>
    <x v="4"/>
    <x v="4"/>
    <x v="3"/>
    <n v="1715"/>
    <n v="5"/>
    <n v="20"/>
    <n v="34300"/>
    <n v="4116"/>
    <n v="30184"/>
    <n v="17150"/>
    <n v="13034"/>
    <x v="2"/>
    <n v="10"/>
    <x v="2"/>
    <n v="2023"/>
  </r>
  <r>
    <n v="47"/>
    <x v="0"/>
    <x v="4"/>
    <x v="0"/>
    <x v="3"/>
    <n v="1715"/>
    <n v="10"/>
    <n v="20"/>
    <n v="34300"/>
    <n v="4116"/>
    <n v="30184"/>
    <n v="17150"/>
    <n v="13034"/>
    <x v="2"/>
    <n v="10"/>
    <x v="2"/>
    <n v="2023"/>
  </r>
  <r>
    <n v="48"/>
    <x v="0"/>
    <x v="2"/>
    <x v="5"/>
    <x v="3"/>
    <n v="442"/>
    <n v="3"/>
    <n v="20"/>
    <n v="8840"/>
    <n v="1149.2"/>
    <n v="7690.8"/>
    <n v="4420"/>
    <n v="3270.8"/>
    <x v="1"/>
    <n v="9"/>
    <x v="1"/>
    <n v="2023"/>
  </r>
  <r>
    <n v="49"/>
    <x v="0"/>
    <x v="3"/>
    <x v="0"/>
    <x v="3"/>
    <n v="267"/>
    <n v="10"/>
    <n v="20"/>
    <n v="5340"/>
    <n v="801"/>
    <n v="4539"/>
    <n v="2670"/>
    <n v="1869"/>
    <x v="2"/>
    <n v="10"/>
    <x v="2"/>
    <n v="2023"/>
  </r>
  <r>
    <n v="50"/>
    <x v="0"/>
    <x v="3"/>
    <x v="1"/>
    <x v="3"/>
    <n v="267"/>
    <n v="250"/>
    <n v="20"/>
    <n v="5340"/>
    <n v="801"/>
    <n v="4539"/>
    <n v="2670"/>
    <n v="1869"/>
    <x v="2"/>
    <n v="10"/>
    <x v="2"/>
    <n v="2023"/>
  </r>
  <r>
    <n v="51"/>
    <x v="0"/>
    <x v="0"/>
    <x v="2"/>
    <x v="1"/>
    <n v="2092"/>
    <n v="120"/>
    <n v="7"/>
    <n v="14644"/>
    <n v="146.44"/>
    <n v="14497.56"/>
    <n v="10460"/>
    <n v="4037.56"/>
    <x v="0"/>
    <n v="11"/>
    <x v="0"/>
    <n v="2023"/>
  </r>
  <r>
    <n v="52"/>
    <x v="0"/>
    <x v="1"/>
    <x v="5"/>
    <x v="1"/>
    <n v="2145"/>
    <n v="3"/>
    <n v="7"/>
    <n v="15015"/>
    <n v="300.3"/>
    <n v="14714.7"/>
    <n v="10725"/>
    <n v="3989.7"/>
    <x v="0"/>
    <n v="11"/>
    <x v="0"/>
    <n v="2023"/>
  </r>
  <r>
    <n v="53"/>
    <x v="0"/>
    <x v="3"/>
    <x v="0"/>
    <x v="1"/>
    <n v="2013"/>
    <n v="10"/>
    <n v="7"/>
    <n v="14091"/>
    <n v="281.82"/>
    <n v="13809.18"/>
    <n v="10065"/>
    <n v="3744.18"/>
    <x v="3"/>
    <n v="12"/>
    <x v="3"/>
    <n v="2023"/>
  </r>
  <r>
    <n v="54"/>
    <x v="0"/>
    <x v="4"/>
    <x v="0"/>
    <x v="1"/>
    <n v="1760"/>
    <n v="10"/>
    <n v="7"/>
    <n v="12320"/>
    <n v="369.6"/>
    <n v="11950.4"/>
    <n v="8800"/>
    <n v="3150.4"/>
    <x v="1"/>
    <n v="9"/>
    <x v="1"/>
    <n v="2023"/>
  </r>
  <r>
    <n v="55"/>
    <x v="0"/>
    <x v="0"/>
    <x v="5"/>
    <x v="1"/>
    <n v="2851"/>
    <n v="3"/>
    <n v="7"/>
    <n v="19957"/>
    <n v="798.28"/>
    <n v="19158.72"/>
    <n v="14255"/>
    <n v="4903.72"/>
    <x v="2"/>
    <n v="10"/>
    <x v="2"/>
    <n v="2023"/>
  </r>
  <r>
    <n v="56"/>
    <x v="0"/>
    <x v="0"/>
    <x v="4"/>
    <x v="1"/>
    <n v="2851"/>
    <n v="5"/>
    <n v="7"/>
    <n v="19957"/>
    <n v="798.28"/>
    <n v="19158.72"/>
    <n v="14255"/>
    <n v="4903.72"/>
    <x v="2"/>
    <n v="10"/>
    <x v="2"/>
    <n v="2023"/>
  </r>
  <r>
    <n v="57"/>
    <x v="0"/>
    <x v="2"/>
    <x v="4"/>
    <x v="2"/>
    <n v="1159"/>
    <n v="5"/>
    <n v="7"/>
    <n v="8113"/>
    <n v="405.65"/>
    <n v="7707.35"/>
    <n v="5795"/>
    <n v="1912.35"/>
    <x v="2"/>
    <n v="10"/>
    <x v="2"/>
    <n v="2023"/>
  </r>
  <r>
    <n v="58"/>
    <x v="0"/>
    <x v="0"/>
    <x v="0"/>
    <x v="2"/>
    <n v="2349"/>
    <n v="10"/>
    <n v="7"/>
    <n v="16443"/>
    <n v="822.15"/>
    <n v="15620.85"/>
    <n v="11745"/>
    <n v="3875.85"/>
    <x v="1"/>
    <n v="9"/>
    <x v="1"/>
    <n v="2023"/>
  </r>
  <r>
    <n v="59"/>
    <x v="0"/>
    <x v="2"/>
    <x v="3"/>
    <x v="2"/>
    <n v="1159"/>
    <n v="260"/>
    <n v="7"/>
    <n v="8113"/>
    <n v="405.65"/>
    <n v="7707.35"/>
    <n v="5795"/>
    <n v="1912.35"/>
    <x v="2"/>
    <n v="10"/>
    <x v="2"/>
    <n v="2023"/>
  </r>
  <r>
    <n v="60"/>
    <x v="0"/>
    <x v="2"/>
    <x v="5"/>
    <x v="2"/>
    <n v="1016"/>
    <n v="3"/>
    <n v="7"/>
    <n v="7112"/>
    <n v="355.6"/>
    <n v="6756.4"/>
    <n v="5080"/>
    <n v="1676.4"/>
    <x v="0"/>
    <n v="11"/>
    <x v="0"/>
    <n v="2023"/>
  </r>
  <r>
    <n v="61"/>
    <x v="0"/>
    <x v="1"/>
    <x v="0"/>
    <x v="2"/>
    <n v="2136"/>
    <n v="10"/>
    <n v="7"/>
    <n v="14952"/>
    <n v="747.6"/>
    <n v="14204.4"/>
    <n v="10680"/>
    <n v="3524.4"/>
    <x v="3"/>
    <n v="12"/>
    <x v="3"/>
    <n v="2023"/>
  </r>
  <r>
    <n v="62"/>
    <x v="0"/>
    <x v="3"/>
    <x v="5"/>
    <x v="2"/>
    <n v="263"/>
    <n v="3"/>
    <n v="7"/>
    <n v="1841"/>
    <n v="110.46"/>
    <n v="1730.54"/>
    <n v="1315"/>
    <n v="415.54"/>
    <x v="0"/>
    <n v="11"/>
    <x v="0"/>
    <n v="2023"/>
  </r>
  <r>
    <n v="63"/>
    <x v="0"/>
    <x v="1"/>
    <x v="4"/>
    <x v="2"/>
    <n v="1403"/>
    <n v="5"/>
    <n v="7"/>
    <n v="9821"/>
    <n v="589.26"/>
    <n v="9231.74"/>
    <n v="7015"/>
    <n v="2216.7399999999998"/>
    <x v="2"/>
    <n v="10"/>
    <x v="2"/>
    <n v="2023"/>
  </r>
  <r>
    <n v="64"/>
    <x v="0"/>
    <x v="1"/>
    <x v="3"/>
    <x v="2"/>
    <n v="1403"/>
    <n v="260"/>
    <n v="7"/>
    <n v="9821"/>
    <n v="589.26"/>
    <n v="9231.74"/>
    <n v="7015"/>
    <n v="2216.7399999999998"/>
    <x v="2"/>
    <n v="10"/>
    <x v="2"/>
    <n v="2023"/>
  </r>
  <r>
    <n v="65"/>
    <x v="0"/>
    <x v="1"/>
    <x v="0"/>
    <x v="2"/>
    <n v="1031"/>
    <n v="10"/>
    <n v="7"/>
    <n v="7217"/>
    <n v="505.19"/>
    <n v="6711.81"/>
    <n v="5155"/>
    <n v="1556.81"/>
    <x v="1"/>
    <n v="9"/>
    <x v="1"/>
    <n v="2023"/>
  </r>
  <r>
    <n v="66"/>
    <x v="0"/>
    <x v="2"/>
    <x v="0"/>
    <x v="2"/>
    <n v="2125"/>
    <n v="10"/>
    <n v="7"/>
    <n v="14875"/>
    <n v="1041.25"/>
    <n v="13833.75"/>
    <n v="10625"/>
    <n v="3208.75"/>
    <x v="3"/>
    <n v="12"/>
    <x v="3"/>
    <n v="2023"/>
  </r>
  <r>
    <n v="67"/>
    <x v="0"/>
    <x v="2"/>
    <x v="0"/>
    <x v="2"/>
    <n v="2409"/>
    <n v="10"/>
    <n v="7"/>
    <n v="16863"/>
    <n v="1349.04"/>
    <n v="15513.96"/>
    <n v="12045"/>
    <n v="3468.96"/>
    <x v="1"/>
    <n v="9"/>
    <x v="1"/>
    <n v="2023"/>
  </r>
  <r>
    <n v="68"/>
    <x v="0"/>
    <x v="4"/>
    <x v="0"/>
    <x v="2"/>
    <n v="1946"/>
    <n v="10"/>
    <n v="7"/>
    <n v="13622"/>
    <n v="1089.76"/>
    <n v="12532.24"/>
    <n v="9730"/>
    <n v="2802.24"/>
    <x v="3"/>
    <n v="12"/>
    <x v="3"/>
    <n v="2023"/>
  </r>
  <r>
    <n v="69"/>
    <x v="0"/>
    <x v="0"/>
    <x v="4"/>
    <x v="2"/>
    <n v="1611"/>
    <n v="5"/>
    <n v="7"/>
    <n v="11277"/>
    <n v="1014.93"/>
    <n v="10262.07"/>
    <n v="8055"/>
    <n v="2207.0700000000002"/>
    <x v="3"/>
    <n v="12"/>
    <x v="3"/>
    <n v="2023"/>
  </r>
  <r>
    <n v="70"/>
    <x v="0"/>
    <x v="4"/>
    <x v="5"/>
    <x v="3"/>
    <n v="2706"/>
    <n v="3"/>
    <n v="7"/>
    <n v="18942"/>
    <n v="2083.62"/>
    <n v="16858.38"/>
    <n v="13530"/>
    <n v="3328.38"/>
    <x v="0"/>
    <n v="11"/>
    <x v="0"/>
    <n v="2023"/>
  </r>
  <r>
    <n v="71"/>
    <x v="0"/>
    <x v="3"/>
    <x v="0"/>
    <x v="3"/>
    <n v="380"/>
    <n v="10"/>
    <n v="7"/>
    <n v="2660"/>
    <n v="292.60000000000002"/>
    <n v="2367.4"/>
    <n v="1900"/>
    <n v="467.4"/>
    <x v="1"/>
    <n v="9"/>
    <x v="1"/>
    <n v="2023"/>
  </r>
  <r>
    <n v="72"/>
    <x v="0"/>
    <x v="3"/>
    <x v="5"/>
    <x v="3"/>
    <n v="2996"/>
    <n v="3"/>
    <n v="7"/>
    <n v="20972"/>
    <n v="2936.08"/>
    <n v="18035.919999999998"/>
    <n v="14980"/>
    <n v="3055.92"/>
    <x v="2"/>
    <n v="10"/>
    <x v="2"/>
    <n v="2023"/>
  </r>
  <r>
    <n v="73"/>
    <x v="0"/>
    <x v="3"/>
    <x v="4"/>
    <x v="3"/>
    <n v="2996"/>
    <n v="5"/>
    <n v="7"/>
    <n v="20972"/>
    <n v="2936.08"/>
    <n v="18035.919999999998"/>
    <n v="14980"/>
    <n v="3055.92"/>
    <x v="2"/>
    <n v="10"/>
    <x v="2"/>
    <n v="2023"/>
  </r>
  <r>
    <n v="74"/>
    <x v="0"/>
    <x v="4"/>
    <x v="4"/>
    <x v="3"/>
    <n v="1727"/>
    <n v="5"/>
    <n v="7"/>
    <n v="12089"/>
    <n v="1692.46"/>
    <n v="10396.540000000001"/>
    <n v="8635"/>
    <n v="1761.54"/>
    <x v="2"/>
    <n v="10"/>
    <x v="2"/>
    <n v="2023"/>
  </r>
  <r>
    <n v="75"/>
    <x v="0"/>
    <x v="4"/>
    <x v="3"/>
    <x v="3"/>
    <n v="1727"/>
    <n v="260"/>
    <n v="7"/>
    <n v="12089"/>
    <n v="1692.46"/>
    <n v="10396.540000000001"/>
    <n v="8635"/>
    <n v="1761.54"/>
    <x v="2"/>
    <n v="10"/>
    <x v="2"/>
    <n v="2023"/>
  </r>
  <r>
    <n v="76"/>
    <x v="1"/>
    <x v="0"/>
    <x v="4"/>
    <x v="0"/>
    <n v="345"/>
    <n v="5"/>
    <n v="125"/>
    <n v="43125"/>
    <n v="0"/>
    <n v="43125"/>
    <n v="41400"/>
    <n v="1725"/>
    <x v="2"/>
    <n v="10"/>
    <x v="2"/>
    <n v="2023"/>
  </r>
  <r>
    <n v="77"/>
    <x v="1"/>
    <x v="0"/>
    <x v="2"/>
    <x v="0"/>
    <n v="345"/>
    <n v="120"/>
    <n v="125"/>
    <n v="43125"/>
    <n v="0"/>
    <n v="43125"/>
    <n v="41400"/>
    <n v="1725"/>
    <x v="2"/>
    <n v="10"/>
    <x v="2"/>
    <n v="2023"/>
  </r>
  <r>
    <n v="78"/>
    <x v="1"/>
    <x v="3"/>
    <x v="5"/>
    <x v="1"/>
    <n v="330"/>
    <n v="3"/>
    <n v="125"/>
    <n v="41250"/>
    <n v="412.5"/>
    <n v="40837.5"/>
    <n v="39600"/>
    <n v="1237.5"/>
    <x v="1"/>
    <n v="9"/>
    <x v="1"/>
    <n v="2023"/>
  </r>
  <r>
    <n v="79"/>
    <x v="2"/>
    <x v="2"/>
    <x v="5"/>
    <x v="1"/>
    <n v="766"/>
    <n v="3"/>
    <n v="12"/>
    <n v="9192"/>
    <n v="91.92"/>
    <n v="9100.08"/>
    <n v="2298"/>
    <n v="6802.08"/>
    <x v="2"/>
    <n v="10"/>
    <x v="2"/>
    <n v="2023"/>
  </r>
  <r>
    <n v="80"/>
    <x v="3"/>
    <x v="4"/>
    <x v="5"/>
    <x v="1"/>
    <n v="494"/>
    <n v="3"/>
    <n v="300"/>
    <n v="148200"/>
    <n v="1482"/>
    <n v="146718"/>
    <n v="123500"/>
    <n v="23218"/>
    <x v="2"/>
    <n v="10"/>
    <x v="2"/>
    <n v="2023"/>
  </r>
  <r>
    <n v="81"/>
    <x v="3"/>
    <x v="3"/>
    <x v="4"/>
    <x v="1"/>
    <n v="2498"/>
    <n v="5"/>
    <n v="300"/>
    <n v="749400"/>
    <n v="7494"/>
    <n v="741906"/>
    <n v="624500"/>
    <n v="117406"/>
    <x v="1"/>
    <n v="9"/>
    <x v="1"/>
    <n v="2023"/>
  </r>
  <r>
    <n v="82"/>
    <x v="1"/>
    <x v="3"/>
    <x v="4"/>
    <x v="1"/>
    <n v="663"/>
    <n v="5"/>
    <n v="125"/>
    <n v="82875"/>
    <n v="828.75"/>
    <n v="82046.25"/>
    <n v="79560"/>
    <n v="2486.25"/>
    <x v="2"/>
    <n v="10"/>
    <x v="2"/>
    <n v="2023"/>
  </r>
  <r>
    <n v="83"/>
    <x v="1"/>
    <x v="3"/>
    <x v="2"/>
    <x v="1"/>
    <n v="663"/>
    <n v="120"/>
    <n v="125"/>
    <n v="82875"/>
    <n v="828.75"/>
    <n v="82046.25"/>
    <n v="79560"/>
    <n v="2486.25"/>
    <x v="2"/>
    <n v="10"/>
    <x v="2"/>
    <n v="2023"/>
  </r>
  <r>
    <n v="84"/>
    <x v="3"/>
    <x v="4"/>
    <x v="1"/>
    <x v="1"/>
    <n v="494"/>
    <n v="250"/>
    <n v="300"/>
    <n v="148200"/>
    <n v="1482"/>
    <n v="146718"/>
    <n v="123500"/>
    <n v="23218"/>
    <x v="2"/>
    <n v="10"/>
    <x v="2"/>
    <n v="2023"/>
  </r>
  <r>
    <n v="85"/>
    <x v="2"/>
    <x v="3"/>
    <x v="3"/>
    <x v="1"/>
    <n v="1989"/>
    <n v="260"/>
    <n v="12"/>
    <n v="23868"/>
    <n v="238.68"/>
    <n v="23629.32"/>
    <n v="5967"/>
    <n v="17662.32"/>
    <x v="1"/>
    <n v="9"/>
    <x v="1"/>
    <n v="2023"/>
  </r>
  <r>
    <n v="86"/>
    <x v="4"/>
    <x v="1"/>
    <x v="3"/>
    <x v="1"/>
    <n v="321"/>
    <n v="260"/>
    <n v="15"/>
    <n v="4815"/>
    <n v="48.15"/>
    <n v="4766.8500000000004"/>
    <n v="3210"/>
    <n v="1556.85"/>
    <x v="0"/>
    <n v="11"/>
    <x v="0"/>
    <n v="2023"/>
  </r>
  <r>
    <n v="87"/>
    <x v="3"/>
    <x v="2"/>
    <x v="5"/>
    <x v="1"/>
    <n v="214"/>
    <n v="3"/>
    <n v="300"/>
    <n v="64200"/>
    <n v="1284"/>
    <n v="62916"/>
    <n v="53500"/>
    <n v="9416"/>
    <x v="2"/>
    <n v="10"/>
    <x v="2"/>
    <n v="2023"/>
  </r>
  <r>
    <n v="88"/>
    <x v="1"/>
    <x v="4"/>
    <x v="4"/>
    <x v="1"/>
    <n v="1660"/>
    <n v="5"/>
    <n v="125"/>
    <n v="207500"/>
    <n v="4150"/>
    <n v="203350"/>
    <n v="199200"/>
    <n v="4150"/>
    <x v="0"/>
    <n v="11"/>
    <x v="0"/>
    <n v="2023"/>
  </r>
  <r>
    <n v="89"/>
    <x v="1"/>
    <x v="2"/>
    <x v="2"/>
    <x v="1"/>
    <n v="809"/>
    <n v="120"/>
    <n v="125"/>
    <n v="101125"/>
    <n v="2022.5"/>
    <n v="99102.5"/>
    <n v="97080"/>
    <n v="2022.5"/>
    <x v="2"/>
    <n v="10"/>
    <x v="2"/>
    <n v="2023"/>
  </r>
  <r>
    <n v="90"/>
    <x v="1"/>
    <x v="4"/>
    <x v="2"/>
    <x v="1"/>
    <n v="2145"/>
    <n v="120"/>
    <n v="125"/>
    <n v="268125"/>
    <n v="5362.5"/>
    <n v="262762.5"/>
    <n v="257400"/>
    <n v="5362.5"/>
    <x v="2"/>
    <n v="10"/>
    <x v="2"/>
    <n v="2023"/>
  </r>
  <r>
    <n v="91"/>
    <x v="3"/>
    <x v="2"/>
    <x v="1"/>
    <x v="1"/>
    <n v="214"/>
    <n v="250"/>
    <n v="300"/>
    <n v="64200"/>
    <n v="1284"/>
    <n v="62916"/>
    <n v="53500"/>
    <n v="9416"/>
    <x v="2"/>
    <n v="10"/>
    <x v="2"/>
    <n v="2023"/>
  </r>
  <r>
    <n v="92"/>
    <x v="2"/>
    <x v="0"/>
    <x v="5"/>
    <x v="1"/>
    <n v="908"/>
    <n v="3"/>
    <n v="12"/>
    <n v="10896"/>
    <n v="326.88"/>
    <n v="10569.12"/>
    <n v="2724"/>
    <n v="7845.12"/>
    <x v="3"/>
    <n v="12"/>
    <x v="3"/>
    <n v="2023"/>
  </r>
  <r>
    <n v="93"/>
    <x v="4"/>
    <x v="2"/>
    <x v="1"/>
    <x v="1"/>
    <n v="1945"/>
    <n v="250"/>
    <n v="15"/>
    <n v="29175"/>
    <n v="875.25"/>
    <n v="28299.75"/>
    <n v="19450"/>
    <n v="8849.75"/>
    <x v="2"/>
    <n v="10"/>
    <x v="2"/>
    <n v="2023"/>
  </r>
  <r>
    <n v="94"/>
    <x v="4"/>
    <x v="4"/>
    <x v="1"/>
    <x v="1"/>
    <n v="1514"/>
    <n v="250"/>
    <n v="15"/>
    <n v="22710"/>
    <n v="908.4"/>
    <n v="21801.599999999999"/>
    <n v="15140"/>
    <n v="6661.6"/>
    <x v="2"/>
    <n v="10"/>
    <x v="2"/>
    <n v="2023"/>
  </r>
  <r>
    <n v="95"/>
    <x v="4"/>
    <x v="3"/>
    <x v="3"/>
    <x v="1"/>
    <n v="671"/>
    <n v="260"/>
    <n v="15"/>
    <n v="10065"/>
    <n v="402.6"/>
    <n v="9662.4"/>
    <n v="6710"/>
    <n v="2952.4"/>
    <x v="2"/>
    <n v="10"/>
    <x v="2"/>
    <n v="2023"/>
  </r>
  <r>
    <n v="96"/>
    <x v="3"/>
    <x v="4"/>
    <x v="4"/>
    <x v="2"/>
    <n v="1100"/>
    <n v="5"/>
    <n v="300"/>
    <n v="330000"/>
    <n v="16500"/>
    <n v="313500"/>
    <n v="275000"/>
    <n v="38500"/>
    <x v="3"/>
    <n v="12"/>
    <x v="3"/>
    <n v="2023"/>
  </r>
  <r>
    <n v="97"/>
    <x v="1"/>
    <x v="1"/>
    <x v="2"/>
    <x v="2"/>
    <n v="704"/>
    <n v="120"/>
    <n v="125"/>
    <n v="88000"/>
    <n v="4400"/>
    <n v="83600"/>
    <n v="84480"/>
    <n v="-880"/>
    <x v="2"/>
    <n v="10"/>
    <x v="2"/>
    <n v="2023"/>
  </r>
  <r>
    <n v="98"/>
    <x v="2"/>
    <x v="0"/>
    <x v="5"/>
    <x v="2"/>
    <n v="2299"/>
    <n v="3"/>
    <n v="12"/>
    <n v="27588"/>
    <n v="1655.28"/>
    <n v="25932.720000000001"/>
    <n v="6897"/>
    <n v="19035.72"/>
    <x v="2"/>
    <n v="10"/>
    <x v="2"/>
    <n v="2023"/>
  </r>
  <r>
    <n v="99"/>
    <x v="1"/>
    <x v="2"/>
    <x v="5"/>
    <x v="2"/>
    <n v="887"/>
    <n v="3"/>
    <n v="125"/>
    <n v="110875"/>
    <n v="6652.5"/>
    <n v="104222.5"/>
    <n v="106440"/>
    <n v="-2217.5"/>
    <x v="3"/>
    <n v="12"/>
    <x v="3"/>
    <n v="2023"/>
  </r>
  <r>
    <n v="100"/>
    <x v="3"/>
    <x v="1"/>
    <x v="2"/>
    <x v="2"/>
    <n v="1221"/>
    <n v="120"/>
    <n v="300"/>
    <n v="366300"/>
    <n v="21978"/>
    <n v="344322"/>
    <n v="305250"/>
    <n v="39072"/>
    <x v="2"/>
    <n v="10"/>
    <x v="2"/>
    <n v="2023"/>
  </r>
  <r>
    <n v="101"/>
    <x v="3"/>
    <x v="1"/>
    <x v="1"/>
    <x v="2"/>
    <n v="1221"/>
    <n v="250"/>
    <n v="300"/>
    <n v="366300"/>
    <n v="21978"/>
    <n v="344322"/>
    <n v="305250"/>
    <n v="39072"/>
    <x v="2"/>
    <n v="10"/>
    <x v="2"/>
    <n v="2023"/>
  </r>
  <r>
    <n v="102"/>
    <x v="3"/>
    <x v="0"/>
    <x v="1"/>
    <x v="2"/>
    <n v="2436"/>
    <n v="250"/>
    <n v="300"/>
    <n v="730800"/>
    <n v="43848"/>
    <n v="686952"/>
    <n v="609000"/>
    <n v="77952"/>
    <x v="3"/>
    <n v="12"/>
    <x v="3"/>
    <n v="2023"/>
  </r>
  <r>
    <n v="103"/>
    <x v="2"/>
    <x v="2"/>
    <x v="1"/>
    <x v="2"/>
    <n v="2215"/>
    <n v="250"/>
    <n v="12"/>
    <n v="26580"/>
    <n v="1860.6"/>
    <n v="24719.4"/>
    <n v="6645"/>
    <n v="18074.400000000001"/>
    <x v="1"/>
    <n v="9"/>
    <x v="1"/>
    <n v="2023"/>
  </r>
  <r>
    <n v="104"/>
    <x v="1"/>
    <x v="2"/>
    <x v="4"/>
    <x v="2"/>
    <n v="2500"/>
    <n v="5"/>
    <n v="125"/>
    <n v="312500"/>
    <n v="21875"/>
    <n v="290625"/>
    <n v="300000"/>
    <n v="-9375"/>
    <x v="0"/>
    <n v="11"/>
    <x v="0"/>
    <n v="2023"/>
  </r>
  <r>
    <n v="105"/>
    <x v="1"/>
    <x v="2"/>
    <x v="3"/>
    <x v="2"/>
    <n v="994"/>
    <n v="260"/>
    <n v="125"/>
    <n v="124250"/>
    <n v="8697.5"/>
    <n v="115552.5"/>
    <n v="119280"/>
    <n v="-3727.5"/>
    <x v="1"/>
    <n v="9"/>
    <x v="1"/>
    <n v="2023"/>
  </r>
  <r>
    <n v="106"/>
    <x v="3"/>
    <x v="0"/>
    <x v="4"/>
    <x v="2"/>
    <n v="1283"/>
    <n v="5"/>
    <n v="300"/>
    <n v="384900"/>
    <n v="30792"/>
    <n v="354108"/>
    <n v="320750"/>
    <n v="33358"/>
    <x v="1"/>
    <n v="9"/>
    <x v="1"/>
    <n v="2023"/>
  </r>
  <r>
    <n v="107"/>
    <x v="3"/>
    <x v="1"/>
    <x v="2"/>
    <x v="2"/>
    <n v="386"/>
    <n v="120"/>
    <n v="300"/>
    <n v="115800"/>
    <n v="9264"/>
    <n v="106536"/>
    <n v="96500"/>
    <n v="10036"/>
    <x v="0"/>
    <n v="11"/>
    <x v="0"/>
    <n v="2023"/>
  </r>
  <r>
    <n v="108"/>
    <x v="3"/>
    <x v="3"/>
    <x v="1"/>
    <x v="2"/>
    <n v="808"/>
    <n v="250"/>
    <n v="300"/>
    <n v="242400"/>
    <n v="19392"/>
    <n v="223008"/>
    <n v="202300"/>
    <n v="21008"/>
    <x v="3"/>
    <n v="12"/>
    <x v="3"/>
    <n v="2023"/>
  </r>
  <r>
    <n v="109"/>
    <x v="2"/>
    <x v="4"/>
    <x v="3"/>
    <x v="2"/>
    <n v="1375"/>
    <n v="260"/>
    <n v="12"/>
    <n v="16500"/>
    <n v="1320"/>
    <n v="15180"/>
    <n v="4125"/>
    <n v="11055"/>
    <x v="3"/>
    <n v="12"/>
    <x v="3"/>
    <n v="2023"/>
  </r>
  <r>
    <n v="110"/>
    <x v="2"/>
    <x v="4"/>
    <x v="5"/>
    <x v="2"/>
    <n v="367"/>
    <n v="3"/>
    <n v="12"/>
    <n v="4404"/>
    <n v="396.36"/>
    <n v="4007.64"/>
    <n v="1101"/>
    <n v="2906.64"/>
    <x v="2"/>
    <n v="10"/>
    <x v="2"/>
    <n v="2023"/>
  </r>
  <r>
    <n v="111"/>
    <x v="3"/>
    <x v="1"/>
    <x v="4"/>
    <x v="2"/>
    <n v="322"/>
    <n v="5"/>
    <n v="300"/>
    <n v="96600"/>
    <n v="8694"/>
    <n v="87906"/>
    <n v="80500"/>
    <n v="7406"/>
    <x v="1"/>
    <n v="9"/>
    <x v="1"/>
    <n v="2023"/>
  </r>
  <r>
    <n v="112"/>
    <x v="1"/>
    <x v="1"/>
    <x v="4"/>
    <x v="2"/>
    <n v="1857"/>
    <n v="5"/>
    <n v="125"/>
    <n v="232125"/>
    <n v="20891.25"/>
    <n v="211233.75"/>
    <n v="222840"/>
    <n v="-11606.25"/>
    <x v="0"/>
    <n v="11"/>
    <x v="0"/>
    <n v="2023"/>
  </r>
  <r>
    <n v="113"/>
    <x v="3"/>
    <x v="2"/>
    <x v="4"/>
    <x v="2"/>
    <n v="334"/>
    <n v="5"/>
    <n v="300"/>
    <n v="100200"/>
    <n v="9018"/>
    <n v="91182"/>
    <n v="83500"/>
    <n v="7682"/>
    <x v="3"/>
    <n v="12"/>
    <x v="3"/>
    <n v="2023"/>
  </r>
  <r>
    <n v="114"/>
    <x v="2"/>
    <x v="1"/>
    <x v="1"/>
    <x v="2"/>
    <n v="2234"/>
    <n v="250"/>
    <n v="12"/>
    <n v="26808"/>
    <n v="2412.7199999999998"/>
    <n v="24395.279999999999"/>
    <n v="6702"/>
    <n v="17693.28"/>
    <x v="1"/>
    <n v="9"/>
    <x v="1"/>
    <n v="2023"/>
  </r>
  <r>
    <n v="115"/>
    <x v="4"/>
    <x v="2"/>
    <x v="3"/>
    <x v="2"/>
    <n v="970"/>
    <n v="260"/>
    <n v="15"/>
    <n v="14550"/>
    <n v="1309.5"/>
    <n v="13240.5"/>
    <n v="9700"/>
    <n v="3540.5"/>
    <x v="0"/>
    <n v="11"/>
    <x v="0"/>
    <n v="2023"/>
  </r>
  <r>
    <n v="116"/>
    <x v="2"/>
    <x v="1"/>
    <x v="3"/>
    <x v="2"/>
    <n v="306"/>
    <n v="260"/>
    <n v="12"/>
    <n v="3672"/>
    <n v="330.48"/>
    <n v="3341.52"/>
    <n v="918"/>
    <n v="2423.52"/>
    <x v="3"/>
    <n v="12"/>
    <x v="3"/>
    <n v="2023"/>
  </r>
  <r>
    <n v="117"/>
    <x v="2"/>
    <x v="3"/>
    <x v="5"/>
    <x v="3"/>
    <n v="386"/>
    <n v="3"/>
    <n v="12"/>
    <n v="4632"/>
    <n v="463.2"/>
    <n v="4168.8"/>
    <n v="1158"/>
    <n v="3010.8"/>
    <x v="2"/>
    <n v="10"/>
    <x v="2"/>
    <n v="2023"/>
  </r>
  <r>
    <n v="118"/>
    <x v="1"/>
    <x v="1"/>
    <x v="5"/>
    <x v="3"/>
    <n v="1482"/>
    <n v="3"/>
    <n v="125"/>
    <n v="185250"/>
    <n v="18525"/>
    <n v="166725"/>
    <n v="177840"/>
    <n v="-11115"/>
    <x v="3"/>
    <n v="12"/>
    <x v="3"/>
    <n v="2023"/>
  </r>
  <r>
    <n v="119"/>
    <x v="1"/>
    <x v="3"/>
    <x v="4"/>
    <x v="3"/>
    <n v="1804"/>
    <n v="5"/>
    <n v="125"/>
    <n v="225500"/>
    <n v="22550"/>
    <n v="202950"/>
    <n v="216480"/>
    <n v="-13530"/>
    <x v="0"/>
    <n v="11"/>
    <x v="0"/>
    <n v="2023"/>
  </r>
  <r>
    <n v="120"/>
    <x v="3"/>
    <x v="3"/>
    <x v="2"/>
    <x v="3"/>
    <n v="2294"/>
    <n v="120"/>
    <n v="300"/>
    <n v="688200"/>
    <n v="68820"/>
    <n v="619380"/>
    <n v="573500"/>
    <n v="45880"/>
    <x v="2"/>
    <n v="10"/>
    <x v="2"/>
    <n v="2023"/>
  </r>
  <r>
    <n v="121"/>
    <x v="1"/>
    <x v="0"/>
    <x v="2"/>
    <x v="3"/>
    <n v="1916"/>
    <n v="120"/>
    <n v="125"/>
    <n v="239500"/>
    <n v="23950"/>
    <n v="215550"/>
    <n v="229920"/>
    <n v="-14370"/>
    <x v="3"/>
    <n v="12"/>
    <x v="3"/>
    <n v="2023"/>
  </r>
  <r>
    <n v="122"/>
    <x v="3"/>
    <x v="3"/>
    <x v="1"/>
    <x v="3"/>
    <n v="2294"/>
    <n v="250"/>
    <n v="300"/>
    <n v="688200"/>
    <n v="68820"/>
    <n v="619380"/>
    <n v="573500"/>
    <n v="45880"/>
    <x v="2"/>
    <n v="10"/>
    <x v="2"/>
    <n v="2023"/>
  </r>
  <r>
    <n v="123"/>
    <x v="4"/>
    <x v="1"/>
    <x v="1"/>
    <x v="3"/>
    <n v="2167"/>
    <n v="250"/>
    <n v="15"/>
    <n v="32505"/>
    <n v="3250.5"/>
    <n v="29254.5"/>
    <n v="21670"/>
    <n v="7584.5"/>
    <x v="2"/>
    <n v="10"/>
    <x v="2"/>
    <n v="2023"/>
  </r>
  <r>
    <n v="124"/>
    <x v="2"/>
    <x v="1"/>
    <x v="5"/>
    <x v="3"/>
    <n v="1198"/>
    <n v="3"/>
    <n v="12"/>
    <n v="14376"/>
    <n v="1581.36"/>
    <n v="12794.64"/>
    <n v="3594"/>
    <n v="9200.64"/>
    <x v="2"/>
    <n v="10"/>
    <x v="2"/>
    <n v="2023"/>
  </r>
  <r>
    <n v="125"/>
    <x v="2"/>
    <x v="4"/>
    <x v="1"/>
    <x v="3"/>
    <n v="1005"/>
    <n v="250"/>
    <n v="12"/>
    <n v="12060"/>
    <n v="1326.6"/>
    <n v="10733.4"/>
    <n v="3015"/>
    <n v="7718.4"/>
    <x v="1"/>
    <n v="9"/>
    <x v="1"/>
    <n v="2023"/>
  </r>
  <r>
    <n v="126"/>
    <x v="4"/>
    <x v="0"/>
    <x v="5"/>
    <x v="3"/>
    <n v="1560"/>
    <n v="3"/>
    <n v="15"/>
    <n v="23400"/>
    <n v="2574"/>
    <n v="20826"/>
    <n v="15600"/>
    <n v="5226"/>
    <x v="0"/>
    <n v="11"/>
    <x v="0"/>
    <n v="2023"/>
  </r>
  <r>
    <n v="127"/>
    <x v="4"/>
    <x v="4"/>
    <x v="2"/>
    <x v="3"/>
    <n v="655"/>
    <n v="120"/>
    <n v="15"/>
    <n v="9825"/>
    <n v="1080.75"/>
    <n v="8744.25"/>
    <n v="6550"/>
    <n v="2194.25"/>
    <x v="1"/>
    <n v="9"/>
    <x v="1"/>
    <n v="2023"/>
  </r>
  <r>
    <n v="128"/>
    <x v="1"/>
    <x v="4"/>
    <x v="3"/>
    <x v="3"/>
    <n v="947"/>
    <n v="260"/>
    <n v="125"/>
    <n v="118375"/>
    <n v="13021.25"/>
    <n v="105353.75"/>
    <n v="113640"/>
    <n v="-8286.25"/>
    <x v="1"/>
    <n v="9"/>
    <x v="1"/>
    <n v="2023"/>
  </r>
  <r>
    <n v="129"/>
    <x v="1"/>
    <x v="0"/>
    <x v="5"/>
    <x v="3"/>
    <n v="2416"/>
    <n v="3"/>
    <n v="125"/>
    <n v="302000"/>
    <n v="36240"/>
    <n v="265760"/>
    <n v="289920"/>
    <n v="-24160"/>
    <x v="1"/>
    <n v="9"/>
    <x v="1"/>
    <n v="2023"/>
  </r>
  <r>
    <n v="130"/>
    <x v="3"/>
    <x v="1"/>
    <x v="4"/>
    <x v="3"/>
    <n v="1186"/>
    <n v="5"/>
    <n v="300"/>
    <n v="355800"/>
    <n v="42696"/>
    <n v="313104"/>
    <n v="296500"/>
    <n v="16604"/>
    <x v="3"/>
    <n v="12"/>
    <x v="3"/>
    <n v="2023"/>
  </r>
  <r>
    <n v="131"/>
    <x v="4"/>
    <x v="3"/>
    <x v="3"/>
    <x v="3"/>
    <n v="2548"/>
    <n v="260"/>
    <n v="15"/>
    <n v="38220"/>
    <n v="4586.3999999999996"/>
    <n v="33633.599999999999"/>
    <n v="25480"/>
    <n v="8153.6"/>
    <x v="0"/>
    <n v="11"/>
    <x v="0"/>
    <n v="2023"/>
  </r>
  <r>
    <n v="132"/>
    <x v="2"/>
    <x v="0"/>
    <x v="3"/>
    <x v="3"/>
    <n v="2761"/>
    <n v="260"/>
    <n v="12"/>
    <n v="33132"/>
    <n v="3975.84"/>
    <n v="29156.16"/>
    <n v="8283"/>
    <n v="20873.16"/>
    <x v="1"/>
    <n v="9"/>
    <x v="1"/>
    <n v="2023"/>
  </r>
  <r>
    <n v="133"/>
    <x v="4"/>
    <x v="2"/>
    <x v="2"/>
    <x v="3"/>
    <n v="660"/>
    <n v="120"/>
    <n v="15"/>
    <n v="9900"/>
    <n v="1287"/>
    <n v="8613"/>
    <n v="6600"/>
    <n v="2013"/>
    <x v="1"/>
    <n v="9"/>
    <x v="1"/>
    <n v="2023"/>
  </r>
  <r>
    <n v="134"/>
    <x v="3"/>
    <x v="4"/>
    <x v="2"/>
    <x v="3"/>
    <n v="2605"/>
    <n v="120"/>
    <n v="300"/>
    <n v="781500"/>
    <n v="101595"/>
    <n v="679905"/>
    <n v="651250"/>
    <n v="28655"/>
    <x v="0"/>
    <n v="11"/>
    <x v="0"/>
    <n v="2023"/>
  </r>
  <r>
    <n v="135"/>
    <x v="2"/>
    <x v="2"/>
    <x v="3"/>
    <x v="3"/>
    <n v="1770"/>
    <n v="260"/>
    <n v="12"/>
    <n v="21240"/>
    <n v="2761.2"/>
    <n v="18478.8"/>
    <n v="5310"/>
    <n v="13168.8"/>
    <x v="3"/>
    <n v="12"/>
    <x v="3"/>
    <n v="2023"/>
  </r>
  <r>
    <n v="136"/>
    <x v="2"/>
    <x v="3"/>
    <x v="3"/>
    <x v="3"/>
    <n v="2015"/>
    <n v="260"/>
    <n v="12"/>
    <n v="24180"/>
    <n v="3385.2"/>
    <n v="20794.8"/>
    <n v="6045"/>
    <n v="14749.8"/>
    <x v="3"/>
    <n v="12"/>
    <x v="3"/>
    <n v="2023"/>
  </r>
  <r>
    <n v="137"/>
    <x v="1"/>
    <x v="1"/>
    <x v="5"/>
    <x v="3"/>
    <n v="1023"/>
    <n v="3"/>
    <n v="125"/>
    <n v="127875"/>
    <n v="17902.5"/>
    <n v="109972.5"/>
    <n v="122760"/>
    <n v="-12787.5"/>
    <x v="1"/>
    <n v="9"/>
    <x v="1"/>
    <n v="2023"/>
  </r>
  <r>
    <n v="138"/>
    <x v="1"/>
    <x v="4"/>
    <x v="5"/>
    <x v="3"/>
    <n v="2821"/>
    <n v="3"/>
    <n v="125"/>
    <n v="352625"/>
    <n v="49367.5"/>
    <n v="303257.5"/>
    <n v="338520"/>
    <n v="-35262.5"/>
    <x v="3"/>
    <n v="12"/>
    <x v="3"/>
    <n v="2023"/>
  </r>
  <r>
    <n v="139"/>
    <x v="3"/>
    <x v="0"/>
    <x v="2"/>
    <x v="3"/>
    <n v="269"/>
    <n v="120"/>
    <n v="300"/>
    <n v="80700"/>
    <n v="11298"/>
    <n v="69402"/>
    <n v="67250"/>
    <n v="2152"/>
    <x v="2"/>
    <n v="10"/>
    <x v="2"/>
    <n v="2023"/>
  </r>
  <r>
    <n v="140"/>
    <x v="3"/>
    <x v="2"/>
    <x v="2"/>
    <x v="3"/>
    <n v="2536"/>
    <n v="120"/>
    <n v="300"/>
    <n v="760800"/>
    <n v="106512"/>
    <n v="654288"/>
    <n v="634000"/>
    <n v="20288"/>
    <x v="0"/>
    <n v="11"/>
    <x v="0"/>
    <n v="2023"/>
  </r>
  <r>
    <n v="141"/>
    <x v="3"/>
    <x v="0"/>
    <x v="1"/>
    <x v="3"/>
    <n v="269"/>
    <n v="250"/>
    <n v="300"/>
    <n v="80700"/>
    <n v="11298"/>
    <n v="69402"/>
    <n v="67250"/>
    <n v="2152"/>
    <x v="2"/>
    <n v="10"/>
    <x v="2"/>
    <n v="2023"/>
  </r>
  <r>
    <n v="142"/>
    <x v="4"/>
    <x v="0"/>
    <x v="3"/>
    <x v="3"/>
    <n v="1743"/>
    <n v="260"/>
    <n v="15"/>
    <n v="26145"/>
    <n v="3660.3"/>
    <n v="22484.7"/>
    <n v="17430"/>
    <n v="5054.7"/>
    <x v="2"/>
    <n v="10"/>
    <x v="2"/>
    <n v="2023"/>
  </r>
  <r>
    <n v="143"/>
    <x v="4"/>
    <x v="4"/>
    <x v="3"/>
    <x v="3"/>
    <n v="1870"/>
    <n v="260"/>
    <n v="15"/>
    <n v="28050"/>
    <n v="3927"/>
    <n v="24123"/>
    <n v="18700"/>
    <n v="5423"/>
    <x v="0"/>
    <n v="11"/>
    <x v="0"/>
    <n v="2023"/>
  </r>
  <r>
    <n v="144"/>
    <x v="3"/>
    <x v="3"/>
    <x v="2"/>
    <x v="3"/>
    <n v="2574"/>
    <n v="120"/>
    <n v="300"/>
    <n v="772200"/>
    <n v="115830"/>
    <n v="656370"/>
    <n v="643500"/>
    <n v="12870"/>
    <x v="0"/>
    <n v="11"/>
    <x v="0"/>
    <n v="2023"/>
  </r>
  <r>
    <n v="145"/>
    <x v="1"/>
    <x v="3"/>
    <x v="2"/>
    <x v="3"/>
    <n v="2438"/>
    <n v="120"/>
    <n v="125"/>
    <n v="304750"/>
    <n v="45712.5"/>
    <n v="259037.5"/>
    <n v="292560"/>
    <n v="-33522.5"/>
    <x v="3"/>
    <n v="12"/>
    <x v="3"/>
    <n v="2023"/>
  </r>
  <r>
    <n v="146"/>
    <x v="1"/>
    <x v="0"/>
    <x v="1"/>
    <x v="3"/>
    <n v="2954"/>
    <n v="250"/>
    <n v="125"/>
    <n v="369250"/>
    <n v="55387.5"/>
    <n v="313862.5"/>
    <n v="354480"/>
    <n v="-40617.5"/>
    <x v="0"/>
    <n v="11"/>
    <x v="0"/>
    <n v="2023"/>
  </r>
  <r>
    <n v="147"/>
    <x v="4"/>
    <x v="1"/>
    <x v="0"/>
    <x v="0"/>
    <n v="549"/>
    <n v="10"/>
    <n v="15"/>
    <n v="8235"/>
    <n v="0"/>
    <n v="8235"/>
    <n v="5490"/>
    <n v="2745"/>
    <x v="1"/>
    <n v="9"/>
    <x v="1"/>
    <n v="2023"/>
  </r>
  <r>
    <n v="148"/>
    <x v="3"/>
    <x v="4"/>
    <x v="0"/>
    <x v="0"/>
    <n v="788"/>
    <n v="10"/>
    <n v="300"/>
    <n v="236400"/>
    <n v="0"/>
    <n v="236400"/>
    <n v="197000"/>
    <n v="39400"/>
    <x v="1"/>
    <n v="9"/>
    <x v="1"/>
    <n v="2023"/>
  </r>
  <r>
    <n v="149"/>
    <x v="2"/>
    <x v="3"/>
    <x v="0"/>
    <x v="0"/>
    <n v="912"/>
    <n v="10"/>
    <n v="12"/>
    <n v="10944"/>
    <n v="0"/>
    <n v="10944"/>
    <n v="2736"/>
    <n v="8208"/>
    <x v="0"/>
    <n v="11"/>
    <x v="0"/>
    <n v="2023"/>
  </r>
  <r>
    <n v="150"/>
    <x v="4"/>
    <x v="0"/>
    <x v="0"/>
    <x v="0"/>
    <n v="2152"/>
    <n v="10"/>
    <n v="15"/>
    <n v="32280"/>
    <n v="0"/>
    <n v="32280"/>
    <n v="21520"/>
    <n v="10760"/>
    <x v="3"/>
    <n v="12"/>
    <x v="3"/>
    <n v="2023"/>
  </r>
  <r>
    <n v="151"/>
    <x v="2"/>
    <x v="2"/>
    <x v="0"/>
    <x v="1"/>
    <n v="766"/>
    <n v="10"/>
    <n v="12"/>
    <n v="9192"/>
    <n v="91.92"/>
    <n v="9100.08"/>
    <n v="2298"/>
    <n v="6802.08"/>
    <x v="2"/>
    <n v="10"/>
    <x v="2"/>
    <n v="2023"/>
  </r>
  <r>
    <n v="152"/>
    <x v="1"/>
    <x v="2"/>
    <x v="0"/>
    <x v="1"/>
    <n v="809"/>
    <n v="10"/>
    <n v="125"/>
    <n v="101125"/>
    <n v="2022.5"/>
    <n v="99102.5"/>
    <n v="97080"/>
    <n v="2022.5"/>
    <x v="2"/>
    <n v="10"/>
    <x v="2"/>
    <n v="2023"/>
  </r>
  <r>
    <n v="153"/>
    <x v="1"/>
    <x v="4"/>
    <x v="0"/>
    <x v="1"/>
    <n v="2145"/>
    <n v="10"/>
    <n v="125"/>
    <n v="268125"/>
    <n v="5362.5"/>
    <n v="262762.5"/>
    <n v="257400"/>
    <n v="5362.5"/>
    <x v="2"/>
    <n v="10"/>
    <x v="2"/>
    <n v="2023"/>
  </r>
  <r>
    <n v="154"/>
    <x v="2"/>
    <x v="1"/>
    <x v="0"/>
    <x v="1"/>
    <n v="1785"/>
    <n v="10"/>
    <n v="12"/>
    <n v="21420"/>
    <n v="428.4"/>
    <n v="20991.599999999999"/>
    <n v="5355"/>
    <n v="15636.6"/>
    <x v="0"/>
    <n v="11"/>
    <x v="0"/>
    <n v="2023"/>
  </r>
  <r>
    <n v="155"/>
    <x v="4"/>
    <x v="3"/>
    <x v="0"/>
    <x v="1"/>
    <n v="1925"/>
    <n v="10"/>
    <n v="15"/>
    <n v="28875"/>
    <n v="577.5"/>
    <n v="28297.5"/>
    <n v="19250"/>
    <n v="9047.5"/>
    <x v="3"/>
    <n v="12"/>
    <x v="3"/>
    <n v="2023"/>
  </r>
  <r>
    <n v="156"/>
    <x v="4"/>
    <x v="2"/>
    <x v="0"/>
    <x v="1"/>
    <n v="1945"/>
    <n v="10"/>
    <n v="15"/>
    <n v="29175"/>
    <n v="875.25"/>
    <n v="28299.75"/>
    <n v="19450"/>
    <n v="8849.75"/>
    <x v="2"/>
    <n v="10"/>
    <x v="2"/>
    <n v="2023"/>
  </r>
  <r>
    <n v="157"/>
    <x v="4"/>
    <x v="1"/>
    <x v="0"/>
    <x v="1"/>
    <n v="2261"/>
    <n v="10"/>
    <n v="15"/>
    <n v="33915"/>
    <n v="1356.6"/>
    <n v="32558.400000000001"/>
    <n v="22610"/>
    <n v="9948.4"/>
    <x v="3"/>
    <n v="12"/>
    <x v="3"/>
    <n v="2023"/>
  </r>
  <r>
    <n v="158"/>
    <x v="4"/>
    <x v="3"/>
    <x v="0"/>
    <x v="1"/>
    <n v="671"/>
    <n v="10"/>
    <n v="15"/>
    <n v="10065"/>
    <n v="402.6"/>
    <n v="9662.4"/>
    <n v="6710"/>
    <n v="2952.4"/>
    <x v="2"/>
    <n v="10"/>
    <x v="2"/>
    <n v="2023"/>
  </r>
  <r>
    <n v="159"/>
    <x v="4"/>
    <x v="4"/>
    <x v="0"/>
    <x v="1"/>
    <n v="1514"/>
    <n v="10"/>
    <n v="15"/>
    <n v="22710"/>
    <n v="908.4"/>
    <n v="21801.599999999999"/>
    <n v="15140"/>
    <n v="6661.6"/>
    <x v="2"/>
    <n v="10"/>
    <x v="2"/>
    <n v="2023"/>
  </r>
  <r>
    <n v="160"/>
    <x v="1"/>
    <x v="1"/>
    <x v="0"/>
    <x v="2"/>
    <n v="704"/>
    <n v="10"/>
    <n v="125"/>
    <n v="88000"/>
    <n v="4400"/>
    <n v="83600"/>
    <n v="84480"/>
    <n v="-880"/>
    <x v="2"/>
    <n v="10"/>
    <x v="2"/>
    <n v="2023"/>
  </r>
  <r>
    <n v="161"/>
    <x v="4"/>
    <x v="2"/>
    <x v="0"/>
    <x v="2"/>
    <n v="2116"/>
    <n v="10"/>
    <n v="15"/>
    <n v="31740"/>
    <n v="1587"/>
    <n v="30153"/>
    <n v="21160"/>
    <n v="8993"/>
    <x v="3"/>
    <n v="12"/>
    <x v="3"/>
    <n v="2023"/>
  </r>
  <r>
    <n v="162"/>
    <x v="2"/>
    <x v="0"/>
    <x v="0"/>
    <x v="2"/>
    <n v="2299"/>
    <n v="10"/>
    <n v="12"/>
    <n v="27588"/>
    <n v="1655.28"/>
    <n v="25932.720000000001"/>
    <n v="6897"/>
    <n v="19035.72"/>
    <x v="2"/>
    <n v="10"/>
    <x v="2"/>
    <n v="2023"/>
  </r>
  <r>
    <n v="163"/>
    <x v="4"/>
    <x v="3"/>
    <x v="0"/>
    <x v="2"/>
    <n v="2931"/>
    <n v="10"/>
    <n v="15"/>
    <n v="43965"/>
    <n v="3077.55"/>
    <n v="40887.449999999997"/>
    <n v="29310"/>
    <n v="11577.45"/>
    <x v="1"/>
    <n v="9"/>
    <x v="1"/>
    <n v="2023"/>
  </r>
  <r>
    <n v="164"/>
    <x v="3"/>
    <x v="2"/>
    <x v="0"/>
    <x v="2"/>
    <n v="1123"/>
    <n v="10"/>
    <n v="300"/>
    <n v="336900"/>
    <n v="23583"/>
    <n v="313317"/>
    <n v="280750"/>
    <n v="32567"/>
    <x v="1"/>
    <n v="9"/>
    <x v="1"/>
    <n v="2023"/>
  </r>
  <r>
    <n v="165"/>
    <x v="3"/>
    <x v="0"/>
    <x v="0"/>
    <x v="2"/>
    <n v="1404"/>
    <n v="10"/>
    <n v="300"/>
    <n v="421200"/>
    <n v="29484"/>
    <n v="391716"/>
    <n v="351000"/>
    <n v="40716"/>
    <x v="0"/>
    <n v="11"/>
    <x v="0"/>
    <n v="2023"/>
  </r>
  <r>
    <n v="166"/>
    <x v="2"/>
    <x v="4"/>
    <x v="0"/>
    <x v="2"/>
    <n v="2763"/>
    <n v="10"/>
    <n v="12"/>
    <n v="33156"/>
    <n v="2320.92"/>
    <n v="30835.08"/>
    <n v="8289"/>
    <n v="22546.080000000002"/>
    <x v="0"/>
    <n v="11"/>
    <x v="0"/>
    <n v="2023"/>
  </r>
  <r>
    <n v="167"/>
    <x v="2"/>
    <x v="4"/>
    <x v="0"/>
    <x v="2"/>
    <n v="367"/>
    <n v="10"/>
    <n v="12"/>
    <n v="4404"/>
    <n v="396.36"/>
    <n v="4007.64"/>
    <n v="1101"/>
    <n v="2906.64"/>
    <x v="2"/>
    <n v="10"/>
    <x v="2"/>
    <n v="2023"/>
  </r>
  <r>
    <n v="168"/>
    <x v="2"/>
    <x v="2"/>
    <x v="0"/>
    <x v="2"/>
    <n v="1775"/>
    <n v="10"/>
    <n v="12"/>
    <n v="21300"/>
    <n v="1917"/>
    <n v="19383"/>
    <n v="5325"/>
    <n v="14058"/>
    <x v="0"/>
    <n v="11"/>
    <x v="0"/>
    <n v="2023"/>
  </r>
  <r>
    <n v="169"/>
    <x v="2"/>
    <x v="3"/>
    <x v="0"/>
    <x v="3"/>
    <n v="386"/>
    <n v="10"/>
    <n v="12"/>
    <n v="4632"/>
    <n v="463.2"/>
    <n v="4168.8"/>
    <n v="1158"/>
    <n v="3010.8"/>
    <x v="2"/>
    <n v="10"/>
    <x v="2"/>
    <n v="2023"/>
  </r>
  <r>
    <n v="170"/>
    <x v="4"/>
    <x v="1"/>
    <x v="0"/>
    <x v="3"/>
    <n v="2167"/>
    <n v="10"/>
    <n v="15"/>
    <n v="32505"/>
    <n v="3250.5"/>
    <n v="29254.5"/>
    <n v="21670"/>
    <n v="7584.5"/>
    <x v="2"/>
    <n v="10"/>
    <x v="2"/>
    <n v="2023"/>
  </r>
  <r>
    <n v="171"/>
    <x v="2"/>
    <x v="1"/>
    <x v="0"/>
    <x v="3"/>
    <n v="1198"/>
    <n v="10"/>
    <n v="12"/>
    <n v="14376"/>
    <n v="1581.36"/>
    <n v="12794.64"/>
    <n v="3594"/>
    <n v="9200.64"/>
    <x v="2"/>
    <n v="10"/>
    <x v="2"/>
    <n v="2023"/>
  </r>
  <r>
    <n v="172"/>
    <x v="4"/>
    <x v="4"/>
    <x v="0"/>
    <x v="3"/>
    <n v="380"/>
    <n v="10"/>
    <n v="15"/>
    <n v="5700"/>
    <n v="684"/>
    <n v="5016"/>
    <n v="3800"/>
    <n v="1216"/>
    <x v="3"/>
    <n v="12"/>
    <x v="3"/>
    <n v="2023"/>
  </r>
  <r>
    <n v="173"/>
    <x v="4"/>
    <x v="0"/>
    <x v="0"/>
    <x v="3"/>
    <n v="2470"/>
    <n v="10"/>
    <n v="15"/>
    <n v="37050"/>
    <n v="5187"/>
    <n v="31863"/>
    <n v="24700"/>
    <n v="7163"/>
    <x v="1"/>
    <n v="9"/>
    <x v="1"/>
    <n v="2023"/>
  </r>
  <r>
    <n v="174"/>
    <x v="4"/>
    <x v="0"/>
    <x v="0"/>
    <x v="3"/>
    <n v="1743"/>
    <n v="10"/>
    <n v="15"/>
    <n v="26145"/>
    <n v="3660.3"/>
    <n v="22484.7"/>
    <n v="17430"/>
    <n v="5054.7"/>
    <x v="2"/>
    <n v="10"/>
    <x v="2"/>
    <n v="2023"/>
  </r>
  <r>
    <n v="175"/>
    <x v="2"/>
    <x v="0"/>
    <x v="0"/>
    <x v="3"/>
    <n v="2222"/>
    <n v="10"/>
    <n v="12"/>
    <n v="26664"/>
    <n v="3732.96"/>
    <n v="22931.040000000001"/>
    <n v="6666"/>
    <n v="16265.04"/>
    <x v="0"/>
    <n v="11"/>
    <x v="0"/>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9928F-820B-4CCD-A2CC-E4CB1B1DA786}" name="PivotTable6"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1">
  <location ref="E21:E26" firstHeaderRow="1" firstDataRow="1" firstDataCol="1"/>
  <pivotFields count="18">
    <pivotField showAll="0"/>
    <pivotField axis="axisRow" showAll="0">
      <items count="6">
        <item x="2"/>
        <item x="1"/>
        <item x="0"/>
        <item x="4"/>
        <item x="3"/>
        <item t="default"/>
      </items>
    </pivotField>
    <pivotField showAll="0">
      <items count="7">
        <item x="0"/>
        <item x="1"/>
        <item x="2"/>
        <item x="4"/>
        <item m="1" x="5"/>
        <item x="3"/>
        <item t="default"/>
      </items>
    </pivotField>
    <pivotField showAll="0" defaultSubtotal="0">
      <items count="6">
        <item x="3"/>
        <item x="5"/>
        <item x="4"/>
        <item x="0"/>
        <item x="2"/>
        <item x="1"/>
      </items>
    </pivotField>
    <pivotField showAll="0"/>
    <pivotField showAll="0"/>
    <pivotField showAll="0"/>
    <pivotField showAll="0"/>
    <pivotField showAll="0"/>
    <pivotField showAll="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1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1:B6" firstHeaderRow="1" firstDataRow="1" firstDataCol="1"/>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axis="axisRow" showAll="0">
      <items count="5">
        <item x="3"/>
        <item x="1"/>
        <item x="2"/>
        <item x="0"/>
        <item t="default"/>
      </items>
    </pivotField>
    <pivotField showAll="0"/>
    <pivotField showAll="0"/>
    <pivotField showAll="0"/>
    <pivotField showAll="0"/>
    <pivotField showAll="0"/>
    <pivotField dataField="1"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Sum of  Sales" fld="10" baseField="4" baseItem="0" numFmtId="165"/>
  </dataFields>
  <formats count="3">
    <format dxfId="2">
      <pivotArea dataOnly="0" labelOnly="1" outline="0" axis="axisValues" fieldPosition="0"/>
    </format>
    <format dxfId="1">
      <pivotArea collapsedLevelsAreSubtotals="1" fieldPosition="0">
        <references count="1">
          <reference field="4" count="1">
            <x v="0"/>
          </reference>
        </references>
      </pivotArea>
    </format>
    <format dxfId="0">
      <pivotArea outline="0" fieldPosition="0">
        <references count="1">
          <reference field="4294967294" count="1">
            <x v="0"/>
          </reference>
        </references>
      </pivotArea>
    </format>
  </formats>
  <chartFormats count="21">
    <chartFormat chart="3" format="30" series="1">
      <pivotArea type="data" outline="0" fieldPosition="0">
        <references count="1">
          <reference field="4294967294" count="1" selected="0">
            <x v="0"/>
          </reference>
        </references>
      </pivotArea>
    </chartFormat>
    <chartFormat chart="3" format="31">
      <pivotArea type="data" outline="0" fieldPosition="0">
        <references count="2">
          <reference field="4294967294" count="1" selected="0">
            <x v="0"/>
          </reference>
          <reference field="4" count="1" selected="0">
            <x v="0"/>
          </reference>
        </references>
      </pivotArea>
    </chartFormat>
    <chartFormat chart="3" format="32">
      <pivotArea type="data" outline="0" fieldPosition="0">
        <references count="2">
          <reference field="4294967294" count="1" selected="0">
            <x v="0"/>
          </reference>
          <reference field="4" count="1" selected="0">
            <x v="1"/>
          </reference>
        </references>
      </pivotArea>
    </chartFormat>
    <chartFormat chart="3" format="33">
      <pivotArea type="data" outline="0" fieldPosition="0">
        <references count="2">
          <reference field="4294967294" count="1" selected="0">
            <x v="0"/>
          </reference>
          <reference field="4" count="1" selected="0">
            <x v="2"/>
          </reference>
        </references>
      </pivotArea>
    </chartFormat>
    <chartFormat chart="3" format="34">
      <pivotArea type="data" outline="0" fieldPosition="0">
        <references count="2">
          <reference field="4294967294" count="1" selected="0">
            <x v="0"/>
          </reference>
          <reference field="4" count="1" selected="0">
            <x v="3"/>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2"/>
          </reference>
        </references>
      </pivotArea>
    </chartFormat>
    <chartFormat chart="9" format="5">
      <pivotArea type="data" outline="0" fieldPosition="0">
        <references count="2">
          <reference field="4294967294" count="1" selected="0">
            <x v="0"/>
          </reference>
          <reference field="4"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E000000}" name="PivotTable1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G10:H16" firstHeaderRow="1" firstDataRow="1" firstDataCol="1"/>
  <pivotFields count="18">
    <pivotField showAll="0"/>
    <pivotField axis="axisRow" showAll="0" sortType="ascending">
      <items count="6">
        <item x="2"/>
        <item x="1"/>
        <item x="0"/>
        <item x="4"/>
        <item x="3"/>
        <item t="default"/>
      </items>
      <autoSortScope>
        <pivotArea dataOnly="0" outline="0" fieldPosition="0">
          <references count="1">
            <reference field="4294967294" count="1" selected="0">
              <x v="0"/>
            </reference>
          </references>
        </pivotArea>
      </autoSortScope>
    </pivotField>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showAll="0"/>
    <pivotField showAll="0"/>
    <pivotField dataField="1" showAll="0"/>
    <pivotField showAll="0"/>
    <pivotField showAll="0"/>
    <pivotField numFmtId="15"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6">
    <i>
      <x/>
    </i>
    <i>
      <x v="3"/>
    </i>
    <i>
      <x v="1"/>
    </i>
    <i>
      <x v="4"/>
    </i>
    <i>
      <x v="2"/>
    </i>
    <i t="grand">
      <x/>
    </i>
  </rowItems>
  <colItems count="1">
    <i/>
  </colItems>
  <dataFields count="1">
    <dataField name="Sum of  Sales" fld="10" baseField="1" baseItem="0" numFmtId="165"/>
  </dataFields>
  <chartFormats count="2">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G1:H8" firstHeaderRow="1" firstDataRow="1" firstDataCol="1"/>
  <pivotFields count="18">
    <pivotField showAll="0"/>
    <pivotField showAll="0"/>
    <pivotField showAll="0">
      <items count="7">
        <item x="0"/>
        <item x="1"/>
        <item x="2"/>
        <item x="4"/>
        <item m="1" x="5"/>
        <item x="3"/>
        <item t="default"/>
      </items>
    </pivotField>
    <pivotField axis="axisRow" showAll="0">
      <items count="7">
        <item x="3"/>
        <item x="5"/>
        <item x="4"/>
        <item x="0"/>
        <item x="2"/>
        <item x="1"/>
        <item t="default"/>
      </items>
    </pivotField>
    <pivotField showAll="0"/>
    <pivotField showAll="0"/>
    <pivotField showAll="0"/>
    <pivotField showAll="0"/>
    <pivotField showAll="0"/>
    <pivotField showAll="0"/>
    <pivotField showAll="0"/>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Profit" fld="12" baseField="3" baseItem="0" numFmtId="165"/>
  </dataFields>
  <chartFormats count="3">
    <chartFormat chart="0" format="0"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3:A24" firstHeaderRow="1" firstDataRow="1" firstDataCol="0"/>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showAll="0"/>
    <pivotField showAll="0"/>
    <pivotField showAll="0"/>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45C8A5-4AD8-43DB-BB67-AC36E694F897}" name="PivotTable1"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1">
  <location ref="C21:C27" firstHeaderRow="1" firstDataRow="1" firstDataCol="1"/>
  <pivotFields count="18">
    <pivotField showAll="0"/>
    <pivotField showAll="0"/>
    <pivotField showAll="0">
      <items count="7">
        <item x="0"/>
        <item x="1"/>
        <item x="2"/>
        <item x="4"/>
        <item m="1" x="5"/>
        <item x="3"/>
        <item t="default"/>
      </items>
    </pivotField>
    <pivotField axis="axisRow" showAll="0" defaultSubtotal="0">
      <items count="6">
        <item x="3"/>
        <item x="5"/>
        <item x="4"/>
        <item x="0"/>
        <item x="2"/>
        <item x="1"/>
      </items>
    </pivotField>
    <pivotField showAll="0"/>
    <pivotField showAll="0"/>
    <pivotField showAll="0"/>
    <pivotField showAll="0"/>
    <pivotField showAll="0"/>
    <pivotField showAll="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1:A22" firstHeaderRow="1" firstDataRow="1" firstDataCol="0"/>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showAll="0"/>
    <pivotField showAll="0"/>
    <pivotField dataField="1"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11000000}" name="PivotTable1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7:A28" firstHeaderRow="1" firstDataRow="1" firstDataCol="0"/>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showAll="0"/>
    <pivotField showAll="0"/>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COGS"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G18:H23" firstHeaderRow="1" firstDataRow="1" firstDataCol="1"/>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showAll="0"/>
    <pivotField showAll="0"/>
    <pivotField dataField="1"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1"/>
        <item x="2"/>
        <item x="0"/>
        <item x="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5"/>
  </rowFields>
  <rowItems count="5">
    <i>
      <x/>
    </i>
    <i>
      <x v="1"/>
    </i>
    <i>
      <x v="2"/>
    </i>
    <i>
      <x v="3"/>
    </i>
    <i t="grand">
      <x/>
    </i>
  </rowItems>
  <colItems count="1">
    <i/>
  </colItems>
  <dataFields count="1">
    <dataField name="Sum of  Sales" fld="10" baseField="15" baseItem="0" numFmtId="165"/>
  </dataFields>
  <chartFormats count="6">
    <chartFormat chart="8"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5" count="1" selected="0">
            <x v="0"/>
          </reference>
        </references>
      </pivotArea>
    </chartFormat>
    <chartFormat chart="11" format="12">
      <pivotArea type="data" outline="0" fieldPosition="0">
        <references count="2">
          <reference field="4294967294" count="1" selected="0">
            <x v="0"/>
          </reference>
          <reference field="15" count="1" selected="0">
            <x v="1"/>
          </reference>
        </references>
      </pivotArea>
    </chartFormat>
    <chartFormat chart="11" format="13">
      <pivotArea type="data" outline="0" fieldPosition="0">
        <references count="2">
          <reference field="4294967294" count="1" selected="0">
            <x v="0"/>
          </reference>
          <reference field="15" count="1" selected="0">
            <x v="2"/>
          </reference>
        </references>
      </pivotArea>
    </chartFormat>
    <chartFormat chart="11"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94C1C9-F2FB-4598-8DEC-2B34BF738FA7}" name="PivotTable2" cacheId="0"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11">
  <location ref="D21:D26" firstHeaderRow="1" firstDataRow="1" firstDataCol="1"/>
  <pivotFields count="18">
    <pivotField showAll="0"/>
    <pivotField showAll="0"/>
    <pivotField axis="axisRow" showAll="0">
      <items count="7">
        <item x="0"/>
        <item x="1"/>
        <item x="2"/>
        <item x="4"/>
        <item m="1" x="5"/>
        <item x="3"/>
        <item t="default"/>
      </items>
    </pivotField>
    <pivotField showAll="0" defaultSubtotal="0">
      <items count="6">
        <item x="3"/>
        <item x="5"/>
        <item x="4"/>
        <item x="0"/>
        <item x="2"/>
        <item x="1"/>
      </items>
    </pivotField>
    <pivotField showAll="0"/>
    <pivotField showAll="0"/>
    <pivotField showAll="0"/>
    <pivotField showAll="0"/>
    <pivotField showAll="0"/>
    <pivotField showAll="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12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5:A26" firstHeaderRow="1" firstDataRow="1" firstDataCol="0"/>
  <pivotFields count="18">
    <pivotField showAll="0"/>
    <pivotField showAll="0"/>
    <pivotField showAll="0">
      <items count="7">
        <item x="0"/>
        <item x="1"/>
        <item x="2"/>
        <item x="4"/>
        <item m="1" x="5"/>
        <item x="3"/>
        <item t="default"/>
      </items>
    </pivotField>
    <pivotField showAll="0">
      <items count="7">
        <item x="3"/>
        <item x="5"/>
        <item x="4"/>
        <item x="0"/>
        <item x="2"/>
        <item x="1"/>
        <item t="default"/>
      </items>
    </pivotField>
    <pivotField showAll="0"/>
    <pivotField showAll="0"/>
    <pivotField showAll="0"/>
    <pivotField showAll="0"/>
    <pivotField dataField="1" showAll="0"/>
    <pivotField showAll="0"/>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Gross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C19423-3188-4387-B087-10CABBFB3842}" name="PivotTable1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D10:E16" firstHeaderRow="1" firstDataRow="1" firstDataCol="1"/>
  <pivotFields count="18">
    <pivotField showAll="0"/>
    <pivotField showAll="0" sortType="ascending">
      <items count="6">
        <item x="2"/>
        <item x="1"/>
        <item x="0"/>
        <item x="4"/>
        <item x="3"/>
        <item t="default"/>
      </items>
      <autoSortScope>
        <pivotArea dataOnly="0" outline="0" fieldPosition="0">
          <references count="1">
            <reference field="4294967294" count="1" selected="0">
              <x v="0"/>
            </reference>
          </references>
        </pivotArea>
      </autoSortScope>
    </pivotField>
    <pivotField axis="axisRow" showAll="0" sortType="ascending">
      <items count="7">
        <item x="0"/>
        <item x="1"/>
        <item x="2"/>
        <item x="4"/>
        <item m="1" x="5"/>
        <item x="3"/>
        <item t="default"/>
      </items>
      <autoSortScope>
        <pivotArea dataOnly="0" outline="0" fieldPosition="0">
          <references count="1">
            <reference field="4294967294" count="1" selected="0">
              <x v="0"/>
            </reference>
          </references>
        </pivotArea>
      </autoSortScope>
    </pivotField>
    <pivotField showAll="0">
      <items count="7">
        <item x="3"/>
        <item x="5"/>
        <item x="4"/>
        <item x="0"/>
        <item x="2"/>
        <item x="1"/>
        <item t="default"/>
      </items>
    </pivotField>
    <pivotField showAll="0"/>
    <pivotField showAll="0"/>
    <pivotField showAll="0"/>
    <pivotField showAll="0"/>
    <pivotField showAll="0"/>
    <pivotField showAll="0"/>
    <pivotField dataField="1" showAll="0"/>
    <pivotField showAll="0"/>
    <pivotField showAll="0"/>
    <pivotField numFmtId="15"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v="3"/>
    </i>
    <i>
      <x v="5"/>
    </i>
    <i>
      <x v="1"/>
    </i>
    <i>
      <x/>
    </i>
    <i>
      <x v="2"/>
    </i>
    <i t="grand">
      <x/>
    </i>
  </rowItems>
  <colItems count="1">
    <i/>
  </colItems>
  <dataFields count="1">
    <dataField name="Sum of  Sales" fld="10" baseField="1" baseItem="0" numFmtId="165"/>
  </dataFields>
  <chartFormats count="2">
    <chartFormat chart="8" format="13"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10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D1:E8" firstHeaderRow="1" firstDataRow="1" firstDataCol="1"/>
  <pivotFields count="18">
    <pivotField showAll="0"/>
    <pivotField showAll="0"/>
    <pivotField showAll="0">
      <items count="7">
        <item x="0"/>
        <item x="1"/>
        <item x="2"/>
        <item x="4"/>
        <item m="1" x="5"/>
        <item x="3"/>
        <item t="default"/>
      </items>
    </pivotField>
    <pivotField axis="axisRow" showAll="0">
      <items count="7">
        <item x="3"/>
        <item x="5"/>
        <item x="4"/>
        <item x="0"/>
        <item x="2"/>
        <item x="1"/>
        <item t="default"/>
      </items>
    </pivotField>
    <pivotField showAll="0"/>
    <pivotField showAll="0"/>
    <pivotField showAll="0"/>
    <pivotField showAll="0"/>
    <pivotField showAll="0"/>
    <pivotField showAll="0"/>
    <pivotField dataField="1"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Sum of  Sales" fld="10" baseField="3" baseItem="0" numFmtId="165"/>
  </dataFields>
  <chartFormats count="2">
    <chartFormat chart="0" format="1"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2" name="PivotTable10"/>
    <pivotTable tabId="2" name="PivotTable12"/>
    <pivotTable tabId="2" name="PivotTable15"/>
    <pivotTable tabId="2" name="PivotTable3"/>
    <pivotTable tabId="2" name="PivotTable8"/>
    <pivotTable tabId="2" name="PivotTable9"/>
    <pivotTable tabId="2" name="PivotTable17"/>
    <pivotTable tabId="2" name="PivotTable19"/>
    <pivotTable tabId="2" name="PivotTable1"/>
    <pivotTable tabId="2" name="PivotTable5"/>
    <pivotTable tabId="2" name="PivotTable2"/>
    <pivotTable tabId="2" name="PivotTable6"/>
    <pivotTable tabId="2" name="PivotTable11"/>
  </pivotTables>
  <data>
    <tabular pivotCacheId="1">
      <items count="6">
        <i x="3" s="1"/>
        <i x="5"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835596-56B3-4305-B49F-FF30A0E75510}" sourceName="Segment">
  <data>
    <tabular pivotCacheId="1">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7F2C9B9F-D425-4DA2-94FA-AA5A92CE2613}" sourceName="Discount Band">
  <data>
    <tabular pivotCacheId="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E96A9A6-9FCE-4DA8-9CC5-BFAE6205B972}" sourceName="Month Name">
  <pivotTables>
    <pivotTable tabId="2" name="PivotTable19"/>
  </pivotTables>
  <data>
    <tabular pivotCacheId="1">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F7D33B1D-C884-418F-A2CB-52F07B1B9840}" sourceName="Country">
  <pivotTables>
    <pivotTable tabId="2" name="PivotTable11"/>
    <pivotTable tabId="2" name="PivotTable1"/>
    <pivotTable tabId="2" name="PivotTable10"/>
    <pivotTable tabId="2" name="PivotTable12"/>
    <pivotTable tabId="2" name="PivotTable15"/>
    <pivotTable tabId="2" name="PivotTable17"/>
    <pivotTable tabId="2" name="PivotTable19"/>
    <pivotTable tabId="2" name="PivotTable2"/>
    <pivotTable tabId="2" name="PivotTable3"/>
    <pivotTable tabId="2" name="PivotTable5"/>
    <pivotTable tabId="2" name="PivotTable6"/>
    <pivotTable tabId="2" name="PivotTable8"/>
    <pivotTable tabId="2" name="PivotTable9"/>
  </pivotTables>
  <data>
    <tabular pivotCacheId="1">
      <items count="6">
        <i x="0" s="1"/>
        <i x="1" s="1"/>
        <i x="2" s="1"/>
        <i x="4" s="1"/>
        <i x="3"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2000000}" cache="Slicer_Product" caption="Product" columnCount="6" style="Slicer Style 2" rowHeight="182880"/>
  <slicer name="Segment" xr10:uid="{E367D6DB-4BC7-4D9A-A49F-682A85F38246}" cache="Slicer_Segment" caption="Segment" style="Slicer Style 2" rowHeight="182880"/>
  <slicer name="Discount Band" xr10:uid="{DF75B557-1C49-4A41-9879-077D67410A54}" cache="Slicer_Discount_Band" caption="Discount Band" style="Slicer Style 2" rowHeight="182880"/>
  <slicer name="Month Name" xr10:uid="{53E98265-2D04-4DB9-A8A3-142727AC7CD8}" cache="Slicer_Month_Name" caption="Month" style="Slicer Style 2" rowHeight="182880"/>
  <slicer name="Country" xr10:uid="{E9B74D64-CFA3-40AC-B27D-4017C19743D0}" cache="Slicer_Country1" caption="Country" style="Slicer Style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76" totalsRowShown="0">
  <autoFilter ref="A1:Q176" xr:uid="{00000000-0009-0000-0100-000001000000}"/>
  <tableColumns count="17">
    <tableColumn id="1" xr3:uid="{00000000-0010-0000-0000-000001000000}" name="ID"/>
    <tableColumn id="2" xr3:uid="{00000000-0010-0000-0000-000002000000}" name="Segment"/>
    <tableColumn id="3" xr3:uid="{00000000-0010-0000-0000-000003000000}" name="Country"/>
    <tableColumn id="4" xr3:uid="{00000000-0010-0000-0000-000004000000}" name="Product"/>
    <tableColumn id="5" xr3:uid="{00000000-0010-0000-0000-000005000000}" name="Discount Band"/>
    <tableColumn id="6" xr3:uid="{00000000-0010-0000-0000-000006000000}" name="Units Sold"/>
    <tableColumn id="7" xr3:uid="{00000000-0010-0000-0000-000007000000}" name="Manufacturing Price"/>
    <tableColumn id="8" xr3:uid="{00000000-0010-0000-0000-000008000000}" name="Sale Price"/>
    <tableColumn id="9" xr3:uid="{00000000-0010-0000-0000-000009000000}" name="Gross Sales"/>
    <tableColumn id="10" xr3:uid="{00000000-0010-0000-0000-00000A000000}" name="Discounts"/>
    <tableColumn id="11" xr3:uid="{00000000-0010-0000-0000-00000B000000}" name=" Sales"/>
    <tableColumn id="12" xr3:uid="{00000000-0010-0000-0000-00000C000000}" name="COGS"/>
    <tableColumn id="13" xr3:uid="{00000000-0010-0000-0000-00000D000000}" name="Profit"/>
    <tableColumn id="14" xr3:uid="{00000000-0010-0000-0000-00000E000000}" name="Date" dataDxfId="3"/>
    <tableColumn id="15" xr3:uid="{00000000-0010-0000-0000-00000F000000}" name="Month Number"/>
    <tableColumn id="16" xr3:uid="{00000000-0010-0000-0000-000010000000}" name="Month Name"/>
    <tableColumn id="17" xr3:uid="{00000000-0010-0000-0000-00001100000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6"/>
  <sheetViews>
    <sheetView workbookViewId="0">
      <selection activeCell="N1" sqref="N1:N1048576"/>
    </sheetView>
  </sheetViews>
  <sheetFormatPr defaultRowHeight="15" x14ac:dyDescent="0.25"/>
  <cols>
    <col min="2" max="2" width="11" customWidth="1"/>
    <col min="3" max="3" width="10.140625" customWidth="1"/>
    <col min="4" max="4" width="10" customWidth="1"/>
    <col min="5" max="5" width="15.7109375" customWidth="1"/>
    <col min="6" max="6" width="12.140625" customWidth="1"/>
    <col min="7" max="7" width="21" customWidth="1"/>
    <col min="8" max="8" width="11.7109375" customWidth="1"/>
    <col min="9" max="9" width="13.140625" customWidth="1"/>
    <col min="10" max="10" width="11.7109375" customWidth="1"/>
    <col min="14" max="14" width="9.7109375" style="4" bestFit="1" customWidth="1"/>
    <col min="15" max="15" width="16.85546875" customWidth="1"/>
    <col min="16" max="16" width="14.85546875" customWidth="1"/>
  </cols>
  <sheetData>
    <row r="1" spans="1:17" x14ac:dyDescent="0.25">
      <c r="A1" t="s">
        <v>0</v>
      </c>
      <c r="B1" t="s">
        <v>1</v>
      </c>
      <c r="C1" t="s">
        <v>2</v>
      </c>
      <c r="D1" t="s">
        <v>3</v>
      </c>
      <c r="E1" t="s">
        <v>4</v>
      </c>
      <c r="F1" t="s">
        <v>5</v>
      </c>
      <c r="G1" t="s">
        <v>6</v>
      </c>
      <c r="H1" t="s">
        <v>7</v>
      </c>
      <c r="I1" t="s">
        <v>8</v>
      </c>
      <c r="J1" t="s">
        <v>9</v>
      </c>
      <c r="K1" t="s">
        <v>10</v>
      </c>
      <c r="L1" t="s">
        <v>11</v>
      </c>
      <c r="M1" t="s">
        <v>12</v>
      </c>
      <c r="N1" s="4" t="s">
        <v>13</v>
      </c>
      <c r="O1" t="s">
        <v>14</v>
      </c>
      <c r="P1" t="s">
        <v>15</v>
      </c>
      <c r="Q1" t="s">
        <v>16</v>
      </c>
    </row>
    <row r="2" spans="1:17" x14ac:dyDescent="0.25">
      <c r="A2">
        <v>1</v>
      </c>
      <c r="B2" t="s">
        <v>17</v>
      </c>
      <c r="C2" t="s">
        <v>18</v>
      </c>
      <c r="D2" t="s">
        <v>19</v>
      </c>
      <c r="E2" t="s">
        <v>20</v>
      </c>
      <c r="F2">
        <v>1725</v>
      </c>
      <c r="G2">
        <v>10</v>
      </c>
      <c r="H2">
        <v>350</v>
      </c>
      <c r="I2">
        <v>603750</v>
      </c>
      <c r="J2">
        <v>0</v>
      </c>
      <c r="K2">
        <v>603750</v>
      </c>
      <c r="L2">
        <v>448500</v>
      </c>
      <c r="M2">
        <v>155250</v>
      </c>
      <c r="N2" s="4">
        <v>45231</v>
      </c>
      <c r="O2">
        <v>11</v>
      </c>
      <c r="P2" t="s">
        <v>21</v>
      </c>
      <c r="Q2">
        <v>2023</v>
      </c>
    </row>
    <row r="3" spans="1:17" x14ac:dyDescent="0.25">
      <c r="A3">
        <v>2</v>
      </c>
      <c r="B3" t="s">
        <v>17</v>
      </c>
      <c r="C3" t="s">
        <v>22</v>
      </c>
      <c r="D3" t="s">
        <v>23</v>
      </c>
      <c r="E3" t="s">
        <v>20</v>
      </c>
      <c r="F3">
        <v>1527</v>
      </c>
      <c r="G3">
        <v>250</v>
      </c>
      <c r="H3">
        <v>350</v>
      </c>
      <c r="I3">
        <v>534450</v>
      </c>
      <c r="J3">
        <v>0</v>
      </c>
      <c r="K3">
        <v>534450</v>
      </c>
      <c r="L3">
        <v>397020</v>
      </c>
      <c r="M3">
        <v>137430</v>
      </c>
      <c r="N3" s="4">
        <v>45170</v>
      </c>
      <c r="O3">
        <v>9</v>
      </c>
      <c r="P3" t="s">
        <v>24</v>
      </c>
      <c r="Q3">
        <v>2023</v>
      </c>
    </row>
    <row r="4" spans="1:17" x14ac:dyDescent="0.25">
      <c r="A4">
        <v>3</v>
      </c>
      <c r="B4" t="s">
        <v>17</v>
      </c>
      <c r="C4" t="s">
        <v>25</v>
      </c>
      <c r="D4" t="s">
        <v>26</v>
      </c>
      <c r="E4" t="s">
        <v>27</v>
      </c>
      <c r="F4">
        <v>2966</v>
      </c>
      <c r="G4">
        <v>120</v>
      </c>
      <c r="H4">
        <v>350</v>
      </c>
      <c r="I4">
        <v>1038100</v>
      </c>
      <c r="J4">
        <v>20762</v>
      </c>
      <c r="K4">
        <v>1017338</v>
      </c>
      <c r="L4">
        <v>771160</v>
      </c>
      <c r="M4">
        <v>246178</v>
      </c>
      <c r="N4" s="4">
        <v>45200</v>
      </c>
      <c r="O4">
        <v>10</v>
      </c>
      <c r="P4" t="s">
        <v>28</v>
      </c>
      <c r="Q4">
        <v>2023</v>
      </c>
    </row>
    <row r="5" spans="1:17" x14ac:dyDescent="0.25">
      <c r="A5">
        <v>4</v>
      </c>
      <c r="B5" t="s">
        <v>17</v>
      </c>
      <c r="C5" t="s">
        <v>46</v>
      </c>
      <c r="D5" t="s">
        <v>23</v>
      </c>
      <c r="E5" t="s">
        <v>27</v>
      </c>
      <c r="F5">
        <v>266</v>
      </c>
      <c r="G5">
        <v>250</v>
      </c>
      <c r="H5">
        <v>350</v>
      </c>
      <c r="I5">
        <v>93100</v>
      </c>
      <c r="J5">
        <v>1862</v>
      </c>
      <c r="K5">
        <v>91238</v>
      </c>
      <c r="L5">
        <v>69160</v>
      </c>
      <c r="M5">
        <v>22078</v>
      </c>
      <c r="N5" s="4">
        <v>45261</v>
      </c>
      <c r="O5">
        <v>12</v>
      </c>
      <c r="P5" t="s">
        <v>29</v>
      </c>
      <c r="Q5">
        <v>2023</v>
      </c>
    </row>
    <row r="6" spans="1:17" x14ac:dyDescent="0.25">
      <c r="A6">
        <v>5</v>
      </c>
      <c r="B6" t="s">
        <v>17</v>
      </c>
      <c r="C6" t="s">
        <v>30</v>
      </c>
      <c r="D6" t="s">
        <v>23</v>
      </c>
      <c r="E6" t="s">
        <v>27</v>
      </c>
      <c r="F6">
        <v>1940</v>
      </c>
      <c r="G6">
        <v>250</v>
      </c>
      <c r="H6">
        <v>350</v>
      </c>
      <c r="I6">
        <v>679000</v>
      </c>
      <c r="J6">
        <v>13580</v>
      </c>
      <c r="K6">
        <v>665420</v>
      </c>
      <c r="L6">
        <v>504400</v>
      </c>
      <c r="M6">
        <v>161020</v>
      </c>
      <c r="N6" s="4">
        <v>45261</v>
      </c>
      <c r="O6">
        <v>12</v>
      </c>
      <c r="P6" t="s">
        <v>29</v>
      </c>
      <c r="Q6">
        <v>2023</v>
      </c>
    </row>
    <row r="7" spans="1:17" x14ac:dyDescent="0.25">
      <c r="A7">
        <v>6</v>
      </c>
      <c r="B7" t="s">
        <v>17</v>
      </c>
      <c r="C7" t="s">
        <v>25</v>
      </c>
      <c r="D7" t="s">
        <v>31</v>
      </c>
      <c r="E7" t="s">
        <v>27</v>
      </c>
      <c r="F7">
        <v>2966</v>
      </c>
      <c r="G7">
        <v>260</v>
      </c>
      <c r="H7">
        <v>350</v>
      </c>
      <c r="I7">
        <v>1038100</v>
      </c>
      <c r="J7">
        <v>20762</v>
      </c>
      <c r="K7">
        <v>1017338</v>
      </c>
      <c r="L7">
        <v>771160</v>
      </c>
      <c r="M7">
        <v>246178</v>
      </c>
      <c r="N7" s="4">
        <v>45200</v>
      </c>
      <c r="O7">
        <v>10</v>
      </c>
      <c r="P7" t="s">
        <v>28</v>
      </c>
      <c r="Q7">
        <v>2023</v>
      </c>
    </row>
    <row r="8" spans="1:17" x14ac:dyDescent="0.25">
      <c r="A8">
        <v>7</v>
      </c>
      <c r="B8" t="s">
        <v>17</v>
      </c>
      <c r="C8" t="s">
        <v>25</v>
      </c>
      <c r="D8" t="s">
        <v>32</v>
      </c>
      <c r="E8" t="s">
        <v>27</v>
      </c>
      <c r="F8">
        <v>1797</v>
      </c>
      <c r="G8">
        <v>5</v>
      </c>
      <c r="H8">
        <v>350</v>
      </c>
      <c r="I8">
        <v>628950</v>
      </c>
      <c r="J8">
        <v>18868.5</v>
      </c>
      <c r="K8">
        <v>610081.5</v>
      </c>
      <c r="L8">
        <v>467220</v>
      </c>
      <c r="M8">
        <v>142861.5</v>
      </c>
      <c r="N8" s="4">
        <v>45170</v>
      </c>
      <c r="O8">
        <v>9</v>
      </c>
      <c r="P8" t="s">
        <v>24</v>
      </c>
      <c r="Q8">
        <v>2023</v>
      </c>
    </row>
    <row r="9" spans="1:17" x14ac:dyDescent="0.25">
      <c r="A9">
        <v>8</v>
      </c>
      <c r="B9" t="s">
        <v>17</v>
      </c>
      <c r="C9" t="s">
        <v>46</v>
      </c>
      <c r="D9" t="s">
        <v>23</v>
      </c>
      <c r="E9" t="s">
        <v>27</v>
      </c>
      <c r="F9">
        <v>349</v>
      </c>
      <c r="G9">
        <v>250</v>
      </c>
      <c r="H9">
        <v>350</v>
      </c>
      <c r="I9">
        <v>122150</v>
      </c>
      <c r="J9">
        <v>4886</v>
      </c>
      <c r="K9">
        <v>117264</v>
      </c>
      <c r="L9">
        <v>90740</v>
      </c>
      <c r="M9">
        <v>26524</v>
      </c>
      <c r="N9" s="4">
        <v>45170</v>
      </c>
      <c r="O9">
        <v>9</v>
      </c>
      <c r="P9" t="s">
        <v>24</v>
      </c>
      <c r="Q9">
        <v>2023</v>
      </c>
    </row>
    <row r="10" spans="1:17" x14ac:dyDescent="0.25">
      <c r="A10">
        <v>9</v>
      </c>
      <c r="B10" t="s">
        <v>17</v>
      </c>
      <c r="C10" t="s">
        <v>18</v>
      </c>
      <c r="D10" t="s">
        <v>31</v>
      </c>
      <c r="E10" t="s">
        <v>27</v>
      </c>
      <c r="F10">
        <v>1778</v>
      </c>
      <c r="G10">
        <v>260</v>
      </c>
      <c r="H10">
        <v>350</v>
      </c>
      <c r="I10">
        <v>622300</v>
      </c>
      <c r="J10">
        <v>24892</v>
      </c>
      <c r="K10">
        <v>597408</v>
      </c>
      <c r="L10">
        <v>462280</v>
      </c>
      <c r="M10">
        <v>135128</v>
      </c>
      <c r="N10" s="4">
        <v>45261</v>
      </c>
      <c r="O10">
        <v>12</v>
      </c>
      <c r="P10" t="s">
        <v>29</v>
      </c>
      <c r="Q10">
        <v>2023</v>
      </c>
    </row>
    <row r="11" spans="1:17" x14ac:dyDescent="0.25">
      <c r="A11">
        <v>10</v>
      </c>
      <c r="B11" t="s">
        <v>17</v>
      </c>
      <c r="C11" t="s">
        <v>30</v>
      </c>
      <c r="D11" t="s">
        <v>32</v>
      </c>
      <c r="E11" t="s">
        <v>33</v>
      </c>
      <c r="F11">
        <v>720</v>
      </c>
      <c r="G11">
        <v>5</v>
      </c>
      <c r="H11">
        <v>350</v>
      </c>
      <c r="I11">
        <v>252000</v>
      </c>
      <c r="J11">
        <v>12600</v>
      </c>
      <c r="K11">
        <v>239400</v>
      </c>
      <c r="L11">
        <v>187200</v>
      </c>
      <c r="M11">
        <v>52200</v>
      </c>
      <c r="N11" s="4">
        <v>45170</v>
      </c>
      <c r="O11">
        <v>9</v>
      </c>
      <c r="P11" t="s">
        <v>24</v>
      </c>
      <c r="Q11">
        <v>2023</v>
      </c>
    </row>
    <row r="12" spans="1:17" x14ac:dyDescent="0.25">
      <c r="A12">
        <v>11</v>
      </c>
      <c r="B12" t="s">
        <v>17</v>
      </c>
      <c r="C12" t="s">
        <v>18</v>
      </c>
      <c r="D12" t="s">
        <v>19</v>
      </c>
      <c r="E12" t="s">
        <v>33</v>
      </c>
      <c r="F12">
        <v>1228</v>
      </c>
      <c r="G12">
        <v>10</v>
      </c>
      <c r="H12">
        <v>350</v>
      </c>
      <c r="I12">
        <v>429800</v>
      </c>
      <c r="J12">
        <v>21490</v>
      </c>
      <c r="K12">
        <v>408310</v>
      </c>
      <c r="L12">
        <v>319280</v>
      </c>
      <c r="M12">
        <v>89030</v>
      </c>
      <c r="N12" s="4">
        <v>45200</v>
      </c>
      <c r="O12">
        <v>10</v>
      </c>
      <c r="P12" t="s">
        <v>28</v>
      </c>
      <c r="Q12">
        <v>2023</v>
      </c>
    </row>
    <row r="13" spans="1:17" x14ac:dyDescent="0.25">
      <c r="A13">
        <v>12</v>
      </c>
      <c r="B13" t="s">
        <v>17</v>
      </c>
      <c r="C13" t="s">
        <v>18</v>
      </c>
      <c r="D13" t="s">
        <v>31</v>
      </c>
      <c r="E13" t="s">
        <v>33</v>
      </c>
      <c r="F13">
        <v>1228</v>
      </c>
      <c r="G13">
        <v>260</v>
      </c>
      <c r="H13">
        <v>350</v>
      </c>
      <c r="I13">
        <v>429800</v>
      </c>
      <c r="J13">
        <v>21490</v>
      </c>
      <c r="K13">
        <v>408310</v>
      </c>
      <c r="L13">
        <v>319280</v>
      </c>
      <c r="M13">
        <v>89030</v>
      </c>
      <c r="N13" s="4">
        <v>45200</v>
      </c>
      <c r="O13">
        <v>10</v>
      </c>
      <c r="P13" t="s">
        <v>28</v>
      </c>
      <c r="Q13">
        <v>2023</v>
      </c>
    </row>
    <row r="14" spans="1:17" x14ac:dyDescent="0.25">
      <c r="A14">
        <v>13</v>
      </c>
      <c r="B14" t="s">
        <v>17</v>
      </c>
      <c r="C14" t="s">
        <v>46</v>
      </c>
      <c r="D14" t="s">
        <v>19</v>
      </c>
      <c r="E14" t="s">
        <v>33</v>
      </c>
      <c r="F14">
        <v>727</v>
      </c>
      <c r="G14">
        <v>10</v>
      </c>
      <c r="H14">
        <v>350</v>
      </c>
      <c r="I14">
        <v>254450</v>
      </c>
      <c r="J14">
        <v>15267</v>
      </c>
      <c r="K14">
        <v>239183</v>
      </c>
      <c r="L14">
        <v>189020</v>
      </c>
      <c r="M14">
        <v>50163</v>
      </c>
      <c r="N14" s="4">
        <v>45200</v>
      </c>
      <c r="O14">
        <v>10</v>
      </c>
      <c r="P14" t="s">
        <v>28</v>
      </c>
      <c r="Q14">
        <v>2023</v>
      </c>
    </row>
    <row r="15" spans="1:17" x14ac:dyDescent="0.25">
      <c r="A15">
        <v>14</v>
      </c>
      <c r="B15" t="s">
        <v>17</v>
      </c>
      <c r="C15" t="s">
        <v>22</v>
      </c>
      <c r="D15" t="s">
        <v>26</v>
      </c>
      <c r="E15" t="s">
        <v>33</v>
      </c>
      <c r="F15">
        <v>2076</v>
      </c>
      <c r="G15">
        <v>120</v>
      </c>
      <c r="H15">
        <v>350</v>
      </c>
      <c r="I15">
        <v>726600</v>
      </c>
      <c r="J15">
        <v>43596</v>
      </c>
      <c r="K15">
        <v>683004</v>
      </c>
      <c r="L15">
        <v>539760</v>
      </c>
      <c r="M15">
        <v>143244</v>
      </c>
      <c r="N15" s="4">
        <v>45200</v>
      </c>
      <c r="O15">
        <v>10</v>
      </c>
      <c r="P15" t="s">
        <v>28</v>
      </c>
      <c r="Q15">
        <v>2023</v>
      </c>
    </row>
    <row r="16" spans="1:17" x14ac:dyDescent="0.25">
      <c r="A16">
        <v>15</v>
      </c>
      <c r="B16" t="s">
        <v>17</v>
      </c>
      <c r="C16" t="s">
        <v>46</v>
      </c>
      <c r="D16" t="s">
        <v>31</v>
      </c>
      <c r="E16" t="s">
        <v>33</v>
      </c>
      <c r="F16">
        <v>727</v>
      </c>
      <c r="G16">
        <v>260</v>
      </c>
      <c r="H16">
        <v>350</v>
      </c>
      <c r="I16">
        <v>254450</v>
      </c>
      <c r="J16">
        <v>15267</v>
      </c>
      <c r="K16">
        <v>239183</v>
      </c>
      <c r="L16">
        <v>189020</v>
      </c>
      <c r="M16">
        <v>50163</v>
      </c>
      <c r="N16" s="4">
        <v>45200</v>
      </c>
      <c r="O16">
        <v>10</v>
      </c>
      <c r="P16" t="s">
        <v>28</v>
      </c>
      <c r="Q16">
        <v>2023</v>
      </c>
    </row>
    <row r="17" spans="1:17" x14ac:dyDescent="0.25">
      <c r="A17">
        <v>16</v>
      </c>
      <c r="B17" t="s">
        <v>17</v>
      </c>
      <c r="C17" t="s">
        <v>22</v>
      </c>
      <c r="D17" t="s">
        <v>31</v>
      </c>
      <c r="E17" t="s">
        <v>33</v>
      </c>
      <c r="F17">
        <v>2076</v>
      </c>
      <c r="G17">
        <v>260</v>
      </c>
      <c r="H17">
        <v>350</v>
      </c>
      <c r="I17">
        <v>726600</v>
      </c>
      <c r="J17">
        <v>43596</v>
      </c>
      <c r="K17">
        <v>683004</v>
      </c>
      <c r="L17">
        <v>539760</v>
      </c>
      <c r="M17">
        <v>143244</v>
      </c>
      <c r="N17" s="4">
        <v>45200</v>
      </c>
      <c r="O17">
        <v>10</v>
      </c>
      <c r="P17" t="s">
        <v>28</v>
      </c>
      <c r="Q17">
        <v>2023</v>
      </c>
    </row>
    <row r="18" spans="1:17" x14ac:dyDescent="0.25">
      <c r="A18">
        <v>17</v>
      </c>
      <c r="B18" t="s">
        <v>17</v>
      </c>
      <c r="C18" t="s">
        <v>25</v>
      </c>
      <c r="D18" t="s">
        <v>19</v>
      </c>
      <c r="E18" t="s">
        <v>33</v>
      </c>
      <c r="F18">
        <v>2146</v>
      </c>
      <c r="G18">
        <v>10</v>
      </c>
      <c r="H18">
        <v>350</v>
      </c>
      <c r="I18">
        <v>751100</v>
      </c>
      <c r="J18">
        <v>60088</v>
      </c>
      <c r="K18">
        <v>691012</v>
      </c>
      <c r="L18">
        <v>557960</v>
      </c>
      <c r="M18">
        <v>133052</v>
      </c>
      <c r="N18" s="4">
        <v>45231</v>
      </c>
      <c r="O18">
        <v>11</v>
      </c>
      <c r="P18" t="s">
        <v>21</v>
      </c>
      <c r="Q18">
        <v>2023</v>
      </c>
    </row>
    <row r="19" spans="1:17" x14ac:dyDescent="0.25">
      <c r="A19">
        <v>18</v>
      </c>
      <c r="B19" t="s">
        <v>17</v>
      </c>
      <c r="C19" t="s">
        <v>25</v>
      </c>
      <c r="D19" t="s">
        <v>23</v>
      </c>
      <c r="E19" t="s">
        <v>34</v>
      </c>
      <c r="F19">
        <v>1870</v>
      </c>
      <c r="G19">
        <v>250</v>
      </c>
      <c r="H19">
        <v>350</v>
      </c>
      <c r="I19">
        <v>654500</v>
      </c>
      <c r="J19">
        <v>65450</v>
      </c>
      <c r="K19">
        <v>589050</v>
      </c>
      <c r="L19">
        <v>486200</v>
      </c>
      <c r="M19">
        <v>102850</v>
      </c>
      <c r="N19" s="4">
        <v>45261</v>
      </c>
      <c r="O19">
        <v>12</v>
      </c>
      <c r="P19" t="s">
        <v>29</v>
      </c>
      <c r="Q19">
        <v>2023</v>
      </c>
    </row>
    <row r="20" spans="1:17" x14ac:dyDescent="0.25">
      <c r="A20">
        <v>19</v>
      </c>
      <c r="B20" t="s">
        <v>17</v>
      </c>
      <c r="C20" t="s">
        <v>30</v>
      </c>
      <c r="D20" t="s">
        <v>26</v>
      </c>
      <c r="E20" t="s">
        <v>34</v>
      </c>
      <c r="F20">
        <v>344</v>
      </c>
      <c r="G20">
        <v>120</v>
      </c>
      <c r="H20">
        <v>350</v>
      </c>
      <c r="I20">
        <v>120400</v>
      </c>
      <c r="J20">
        <v>13244</v>
      </c>
      <c r="K20">
        <v>107156</v>
      </c>
      <c r="L20">
        <v>89440</v>
      </c>
      <c r="M20">
        <v>17716</v>
      </c>
      <c r="N20" s="4">
        <v>45200</v>
      </c>
      <c r="O20">
        <v>10</v>
      </c>
      <c r="P20" t="s">
        <v>28</v>
      </c>
      <c r="Q20">
        <v>2023</v>
      </c>
    </row>
    <row r="21" spans="1:17" x14ac:dyDescent="0.25">
      <c r="A21">
        <v>20</v>
      </c>
      <c r="B21" t="s">
        <v>17</v>
      </c>
      <c r="C21" t="s">
        <v>30</v>
      </c>
      <c r="D21" t="s">
        <v>31</v>
      </c>
      <c r="E21" t="s">
        <v>34</v>
      </c>
      <c r="F21">
        <v>344</v>
      </c>
      <c r="G21">
        <v>260</v>
      </c>
      <c r="H21">
        <v>350</v>
      </c>
      <c r="I21">
        <v>120400</v>
      </c>
      <c r="J21">
        <v>13244</v>
      </c>
      <c r="K21">
        <v>107156</v>
      </c>
      <c r="L21">
        <v>89440</v>
      </c>
      <c r="M21">
        <v>17716</v>
      </c>
      <c r="N21" s="4">
        <v>45200</v>
      </c>
      <c r="O21">
        <v>10</v>
      </c>
      <c r="P21" t="s">
        <v>28</v>
      </c>
      <c r="Q21">
        <v>2023</v>
      </c>
    </row>
    <row r="22" spans="1:17" x14ac:dyDescent="0.25">
      <c r="A22">
        <v>21</v>
      </c>
      <c r="B22" t="s">
        <v>17</v>
      </c>
      <c r="C22" t="s">
        <v>18</v>
      </c>
      <c r="D22" t="s">
        <v>23</v>
      </c>
      <c r="E22" t="s">
        <v>34</v>
      </c>
      <c r="F22">
        <v>623</v>
      </c>
      <c r="G22">
        <v>250</v>
      </c>
      <c r="H22">
        <v>350</v>
      </c>
      <c r="I22">
        <v>218050</v>
      </c>
      <c r="J22">
        <v>26166</v>
      </c>
      <c r="K22">
        <v>191884</v>
      </c>
      <c r="L22">
        <v>161980</v>
      </c>
      <c r="M22">
        <v>29904</v>
      </c>
      <c r="N22" s="4">
        <v>45170</v>
      </c>
      <c r="O22">
        <v>9</v>
      </c>
      <c r="P22" t="s">
        <v>24</v>
      </c>
      <c r="Q22">
        <v>2023</v>
      </c>
    </row>
    <row r="23" spans="1:17" x14ac:dyDescent="0.25">
      <c r="A23">
        <v>22</v>
      </c>
      <c r="B23" t="s">
        <v>17</v>
      </c>
      <c r="C23" t="s">
        <v>22</v>
      </c>
      <c r="D23" t="s">
        <v>19</v>
      </c>
      <c r="E23" t="s">
        <v>34</v>
      </c>
      <c r="F23">
        <v>1922</v>
      </c>
      <c r="G23">
        <v>10</v>
      </c>
      <c r="H23">
        <v>350</v>
      </c>
      <c r="I23">
        <v>672700</v>
      </c>
      <c r="J23">
        <v>94178</v>
      </c>
      <c r="K23">
        <v>578522</v>
      </c>
      <c r="L23">
        <v>499720</v>
      </c>
      <c r="M23">
        <v>78802</v>
      </c>
      <c r="N23" s="4">
        <v>45231</v>
      </c>
      <c r="O23">
        <v>11</v>
      </c>
      <c r="P23" t="s">
        <v>21</v>
      </c>
      <c r="Q23">
        <v>2023</v>
      </c>
    </row>
    <row r="24" spans="1:17" x14ac:dyDescent="0.25">
      <c r="A24">
        <v>23</v>
      </c>
      <c r="B24" t="s">
        <v>17</v>
      </c>
      <c r="C24" t="s">
        <v>22</v>
      </c>
      <c r="D24" t="s">
        <v>23</v>
      </c>
      <c r="E24" t="s">
        <v>34</v>
      </c>
      <c r="F24">
        <v>1281</v>
      </c>
      <c r="G24">
        <v>250</v>
      </c>
      <c r="H24">
        <v>350</v>
      </c>
      <c r="I24">
        <v>448350</v>
      </c>
      <c r="J24">
        <v>62769</v>
      </c>
      <c r="K24">
        <v>385581</v>
      </c>
      <c r="L24">
        <v>333060</v>
      </c>
      <c r="M24">
        <v>52521</v>
      </c>
      <c r="N24" s="4">
        <v>45261</v>
      </c>
      <c r="O24">
        <v>12</v>
      </c>
      <c r="P24" t="s">
        <v>29</v>
      </c>
      <c r="Q24">
        <v>2023</v>
      </c>
    </row>
    <row r="25" spans="1:17" x14ac:dyDescent="0.25">
      <c r="A25">
        <v>24</v>
      </c>
      <c r="B25" t="s">
        <v>17</v>
      </c>
      <c r="C25" t="s">
        <v>46</v>
      </c>
      <c r="D25" t="s">
        <v>19</v>
      </c>
      <c r="E25" t="s">
        <v>34</v>
      </c>
      <c r="F25">
        <v>2007</v>
      </c>
      <c r="G25">
        <v>10</v>
      </c>
      <c r="H25">
        <v>350</v>
      </c>
      <c r="I25">
        <v>702450</v>
      </c>
      <c r="J25">
        <v>105367.5</v>
      </c>
      <c r="K25">
        <v>597082.5</v>
      </c>
      <c r="L25">
        <v>521820</v>
      </c>
      <c r="M25">
        <v>75262.5</v>
      </c>
      <c r="N25" s="4">
        <v>45231</v>
      </c>
      <c r="O25">
        <v>11</v>
      </c>
      <c r="P25" t="s">
        <v>21</v>
      </c>
      <c r="Q25">
        <v>2023</v>
      </c>
    </row>
    <row r="26" spans="1:17" x14ac:dyDescent="0.25">
      <c r="A26">
        <v>25</v>
      </c>
      <c r="B26" t="s">
        <v>17</v>
      </c>
      <c r="C26" t="s">
        <v>30</v>
      </c>
      <c r="D26" t="s">
        <v>19</v>
      </c>
      <c r="E26" t="s">
        <v>34</v>
      </c>
      <c r="F26">
        <v>2151</v>
      </c>
      <c r="G26">
        <v>10</v>
      </c>
      <c r="H26">
        <v>350</v>
      </c>
      <c r="I26">
        <v>752850</v>
      </c>
      <c r="J26">
        <v>112927.5</v>
      </c>
      <c r="K26">
        <v>639922.5</v>
      </c>
      <c r="L26">
        <v>559260</v>
      </c>
      <c r="M26">
        <v>80662.5</v>
      </c>
      <c r="N26" s="4">
        <v>45231</v>
      </c>
      <c r="O26">
        <v>11</v>
      </c>
      <c r="P26" t="s">
        <v>21</v>
      </c>
      <c r="Q26">
        <v>2023</v>
      </c>
    </row>
    <row r="27" spans="1:17" x14ac:dyDescent="0.25">
      <c r="A27">
        <v>26</v>
      </c>
      <c r="B27" t="s">
        <v>17</v>
      </c>
      <c r="C27" t="s">
        <v>30</v>
      </c>
      <c r="D27" t="s">
        <v>26</v>
      </c>
      <c r="E27" t="s">
        <v>27</v>
      </c>
      <c r="F27">
        <v>544</v>
      </c>
      <c r="G27">
        <v>120</v>
      </c>
      <c r="H27">
        <v>20</v>
      </c>
      <c r="I27">
        <v>10880</v>
      </c>
      <c r="J27">
        <v>217.6</v>
      </c>
      <c r="K27">
        <v>10662.4</v>
      </c>
      <c r="L27">
        <v>5440</v>
      </c>
      <c r="M27">
        <v>5222.3999999999996</v>
      </c>
      <c r="N27" s="4">
        <v>45261</v>
      </c>
      <c r="O27">
        <v>12</v>
      </c>
      <c r="P27" t="s">
        <v>29</v>
      </c>
      <c r="Q27">
        <v>2023</v>
      </c>
    </row>
    <row r="28" spans="1:17" x14ac:dyDescent="0.25">
      <c r="A28">
        <v>27</v>
      </c>
      <c r="B28" t="s">
        <v>17</v>
      </c>
      <c r="C28" t="s">
        <v>46</v>
      </c>
      <c r="D28" t="s">
        <v>26</v>
      </c>
      <c r="E28" t="s">
        <v>27</v>
      </c>
      <c r="F28">
        <v>736</v>
      </c>
      <c r="G28">
        <v>120</v>
      </c>
      <c r="H28">
        <v>20</v>
      </c>
      <c r="I28">
        <v>14720</v>
      </c>
      <c r="J28">
        <v>588.79999999999995</v>
      </c>
      <c r="K28">
        <v>14131.2</v>
      </c>
      <c r="L28">
        <v>7360</v>
      </c>
      <c r="M28">
        <v>6771.2</v>
      </c>
      <c r="N28" s="4">
        <v>45170</v>
      </c>
      <c r="O28">
        <v>9</v>
      </c>
      <c r="P28" t="s">
        <v>24</v>
      </c>
      <c r="Q28">
        <v>2023</v>
      </c>
    </row>
    <row r="29" spans="1:17" x14ac:dyDescent="0.25">
      <c r="A29">
        <v>28</v>
      </c>
      <c r="B29" t="s">
        <v>17</v>
      </c>
      <c r="C29" t="s">
        <v>18</v>
      </c>
      <c r="D29" t="s">
        <v>26</v>
      </c>
      <c r="E29" t="s">
        <v>27</v>
      </c>
      <c r="F29">
        <v>2646</v>
      </c>
      <c r="G29">
        <v>120</v>
      </c>
      <c r="H29">
        <v>20</v>
      </c>
      <c r="I29">
        <v>52920</v>
      </c>
      <c r="J29">
        <v>2116.8000000000002</v>
      </c>
      <c r="K29">
        <v>50803.199999999997</v>
      </c>
      <c r="L29">
        <v>26460</v>
      </c>
      <c r="M29">
        <v>24343.200000000001</v>
      </c>
      <c r="N29" s="4">
        <v>45170</v>
      </c>
      <c r="O29">
        <v>9</v>
      </c>
      <c r="P29" t="s">
        <v>24</v>
      </c>
      <c r="Q29">
        <v>2023</v>
      </c>
    </row>
    <row r="30" spans="1:17" x14ac:dyDescent="0.25">
      <c r="A30">
        <v>29</v>
      </c>
      <c r="B30" t="s">
        <v>17</v>
      </c>
      <c r="C30" t="s">
        <v>18</v>
      </c>
      <c r="D30" t="s">
        <v>19</v>
      </c>
      <c r="E30" t="s">
        <v>33</v>
      </c>
      <c r="F30">
        <v>1389</v>
      </c>
      <c r="G30">
        <v>10</v>
      </c>
      <c r="H30">
        <v>20</v>
      </c>
      <c r="I30">
        <v>27780</v>
      </c>
      <c r="J30">
        <v>1389</v>
      </c>
      <c r="K30">
        <v>26391</v>
      </c>
      <c r="L30">
        <v>13890</v>
      </c>
      <c r="M30">
        <v>12501</v>
      </c>
      <c r="N30" s="4">
        <v>45200</v>
      </c>
      <c r="O30">
        <v>10</v>
      </c>
      <c r="P30" t="s">
        <v>28</v>
      </c>
      <c r="Q30">
        <v>2023</v>
      </c>
    </row>
    <row r="31" spans="1:17" x14ac:dyDescent="0.25">
      <c r="A31">
        <v>30</v>
      </c>
      <c r="B31" t="s">
        <v>17</v>
      </c>
      <c r="C31" t="s">
        <v>18</v>
      </c>
      <c r="D31" t="s">
        <v>19</v>
      </c>
      <c r="E31" t="s">
        <v>33</v>
      </c>
      <c r="F31">
        <v>1802</v>
      </c>
      <c r="G31">
        <v>10</v>
      </c>
      <c r="H31">
        <v>20</v>
      </c>
      <c r="I31">
        <v>36040</v>
      </c>
      <c r="J31">
        <v>1802</v>
      </c>
      <c r="K31">
        <v>34238</v>
      </c>
      <c r="L31">
        <v>18020</v>
      </c>
      <c r="M31">
        <v>16218</v>
      </c>
      <c r="N31" s="4">
        <v>45261</v>
      </c>
      <c r="O31">
        <v>12</v>
      </c>
      <c r="P31" t="s">
        <v>29</v>
      </c>
      <c r="Q31">
        <v>2023</v>
      </c>
    </row>
    <row r="32" spans="1:17" x14ac:dyDescent="0.25">
      <c r="A32">
        <v>31</v>
      </c>
      <c r="B32" t="s">
        <v>17</v>
      </c>
      <c r="C32" t="s">
        <v>22</v>
      </c>
      <c r="D32" t="s">
        <v>26</v>
      </c>
      <c r="E32" t="s">
        <v>33</v>
      </c>
      <c r="F32">
        <v>1033</v>
      </c>
      <c r="G32">
        <v>120</v>
      </c>
      <c r="H32">
        <v>20</v>
      </c>
      <c r="I32">
        <v>20660</v>
      </c>
      <c r="J32">
        <v>1033</v>
      </c>
      <c r="K32">
        <v>19627</v>
      </c>
      <c r="L32">
        <v>10330</v>
      </c>
      <c r="M32">
        <v>9297</v>
      </c>
      <c r="N32" s="4">
        <v>45261</v>
      </c>
      <c r="O32">
        <v>12</v>
      </c>
      <c r="P32" t="s">
        <v>29</v>
      </c>
      <c r="Q32">
        <v>2023</v>
      </c>
    </row>
    <row r="33" spans="1:17" x14ac:dyDescent="0.25">
      <c r="A33">
        <v>32</v>
      </c>
      <c r="B33" t="s">
        <v>17</v>
      </c>
      <c r="C33" t="s">
        <v>18</v>
      </c>
      <c r="D33" t="s">
        <v>23</v>
      </c>
      <c r="E33" t="s">
        <v>33</v>
      </c>
      <c r="F33">
        <v>1389</v>
      </c>
      <c r="G33">
        <v>250</v>
      </c>
      <c r="H33">
        <v>20</v>
      </c>
      <c r="I33">
        <v>27780</v>
      </c>
      <c r="J33">
        <v>1389</v>
      </c>
      <c r="K33">
        <v>26391</v>
      </c>
      <c r="L33">
        <v>13890</v>
      </c>
      <c r="M33">
        <v>12501</v>
      </c>
      <c r="N33" s="4">
        <v>45200</v>
      </c>
      <c r="O33">
        <v>10</v>
      </c>
      <c r="P33" t="s">
        <v>28</v>
      </c>
      <c r="Q33">
        <v>2023</v>
      </c>
    </row>
    <row r="34" spans="1:17" x14ac:dyDescent="0.25">
      <c r="A34">
        <v>33</v>
      </c>
      <c r="B34" t="s">
        <v>17</v>
      </c>
      <c r="C34" t="s">
        <v>46</v>
      </c>
      <c r="D34" t="s">
        <v>23</v>
      </c>
      <c r="E34" t="s">
        <v>33</v>
      </c>
      <c r="F34">
        <v>1265</v>
      </c>
      <c r="G34">
        <v>250</v>
      </c>
      <c r="H34">
        <v>20</v>
      </c>
      <c r="I34">
        <v>25300</v>
      </c>
      <c r="J34">
        <v>1265</v>
      </c>
      <c r="K34">
        <v>24035</v>
      </c>
      <c r="L34">
        <v>12650</v>
      </c>
      <c r="M34">
        <v>11385</v>
      </c>
      <c r="N34" s="4">
        <v>45231</v>
      </c>
      <c r="O34">
        <v>11</v>
      </c>
      <c r="P34" t="s">
        <v>21</v>
      </c>
      <c r="Q34">
        <v>2023</v>
      </c>
    </row>
    <row r="35" spans="1:17" x14ac:dyDescent="0.25">
      <c r="A35">
        <v>34</v>
      </c>
      <c r="B35" t="s">
        <v>17</v>
      </c>
      <c r="C35" t="s">
        <v>25</v>
      </c>
      <c r="D35" t="s">
        <v>23</v>
      </c>
      <c r="E35" t="s">
        <v>33</v>
      </c>
      <c r="F35">
        <v>2297</v>
      </c>
      <c r="G35">
        <v>250</v>
      </c>
      <c r="H35">
        <v>20</v>
      </c>
      <c r="I35">
        <v>45940</v>
      </c>
      <c r="J35">
        <v>2297</v>
      </c>
      <c r="K35">
        <v>43643</v>
      </c>
      <c r="L35">
        <v>22970</v>
      </c>
      <c r="M35">
        <v>20673</v>
      </c>
      <c r="N35" s="4">
        <v>45231</v>
      </c>
      <c r="O35">
        <v>11</v>
      </c>
      <c r="P35" t="s">
        <v>21</v>
      </c>
      <c r="Q35">
        <v>2023</v>
      </c>
    </row>
    <row r="36" spans="1:17" x14ac:dyDescent="0.25">
      <c r="A36">
        <v>35</v>
      </c>
      <c r="B36" t="s">
        <v>17</v>
      </c>
      <c r="C36" t="s">
        <v>30</v>
      </c>
      <c r="D36" t="s">
        <v>23</v>
      </c>
      <c r="E36" t="s">
        <v>33</v>
      </c>
      <c r="F36">
        <v>1123</v>
      </c>
      <c r="G36">
        <v>250</v>
      </c>
      <c r="H36">
        <v>20</v>
      </c>
      <c r="I36">
        <v>22460</v>
      </c>
      <c r="J36">
        <v>1347.6</v>
      </c>
      <c r="K36">
        <v>21112.400000000001</v>
      </c>
      <c r="L36">
        <v>11230</v>
      </c>
      <c r="M36">
        <v>9882.4</v>
      </c>
      <c r="N36" s="4">
        <v>45231</v>
      </c>
      <c r="O36">
        <v>11</v>
      </c>
      <c r="P36" t="s">
        <v>21</v>
      </c>
      <c r="Q36">
        <v>2023</v>
      </c>
    </row>
    <row r="37" spans="1:17" x14ac:dyDescent="0.25">
      <c r="A37">
        <v>36</v>
      </c>
      <c r="B37" t="s">
        <v>17</v>
      </c>
      <c r="C37" t="s">
        <v>22</v>
      </c>
      <c r="D37" t="s">
        <v>32</v>
      </c>
      <c r="E37" t="s">
        <v>33</v>
      </c>
      <c r="F37">
        <v>1757</v>
      </c>
      <c r="G37">
        <v>5</v>
      </c>
      <c r="H37">
        <v>20</v>
      </c>
      <c r="I37">
        <v>35140</v>
      </c>
      <c r="J37">
        <v>2108.4</v>
      </c>
      <c r="K37">
        <v>33031.599999999999</v>
      </c>
      <c r="L37">
        <v>17570</v>
      </c>
      <c r="M37">
        <v>15461.6</v>
      </c>
      <c r="N37" s="4">
        <v>45200</v>
      </c>
      <c r="O37">
        <v>10</v>
      </c>
      <c r="P37" t="s">
        <v>28</v>
      </c>
      <c r="Q37">
        <v>2023</v>
      </c>
    </row>
    <row r="38" spans="1:17" x14ac:dyDescent="0.25">
      <c r="A38">
        <v>37</v>
      </c>
      <c r="B38" t="s">
        <v>17</v>
      </c>
      <c r="C38" t="s">
        <v>22</v>
      </c>
      <c r="D38" t="s">
        <v>19</v>
      </c>
      <c r="E38" t="s">
        <v>33</v>
      </c>
      <c r="F38">
        <v>1757</v>
      </c>
      <c r="G38">
        <v>10</v>
      </c>
      <c r="H38">
        <v>20</v>
      </c>
      <c r="I38">
        <v>35140</v>
      </c>
      <c r="J38">
        <v>2108.4</v>
      </c>
      <c r="K38">
        <v>33031.599999999999</v>
      </c>
      <c r="L38">
        <v>17570</v>
      </c>
      <c r="M38">
        <v>15461.6</v>
      </c>
      <c r="N38" s="4">
        <v>45200</v>
      </c>
      <c r="O38">
        <v>10</v>
      </c>
      <c r="P38" t="s">
        <v>28</v>
      </c>
      <c r="Q38">
        <v>2023</v>
      </c>
    </row>
    <row r="39" spans="1:17" x14ac:dyDescent="0.25">
      <c r="A39">
        <v>38</v>
      </c>
      <c r="B39" t="s">
        <v>17</v>
      </c>
      <c r="C39" t="s">
        <v>30</v>
      </c>
      <c r="D39" t="s">
        <v>35</v>
      </c>
      <c r="E39" t="s">
        <v>33</v>
      </c>
      <c r="F39">
        <v>1834</v>
      </c>
      <c r="G39">
        <v>3</v>
      </c>
      <c r="H39">
        <v>20</v>
      </c>
      <c r="I39">
        <v>36680</v>
      </c>
      <c r="J39">
        <v>2567.6</v>
      </c>
      <c r="K39">
        <v>34112.400000000001</v>
      </c>
      <c r="L39">
        <v>18340</v>
      </c>
      <c r="M39">
        <v>15772.4</v>
      </c>
      <c r="N39" s="4">
        <v>45170</v>
      </c>
      <c r="O39">
        <v>9</v>
      </c>
      <c r="P39" t="s">
        <v>24</v>
      </c>
      <c r="Q39">
        <v>2023</v>
      </c>
    </row>
    <row r="40" spans="1:17" x14ac:dyDescent="0.25">
      <c r="A40">
        <v>39</v>
      </c>
      <c r="B40" t="s">
        <v>17</v>
      </c>
      <c r="C40" t="s">
        <v>46</v>
      </c>
      <c r="D40" t="s">
        <v>26</v>
      </c>
      <c r="E40" t="s">
        <v>33</v>
      </c>
      <c r="F40">
        <v>1421</v>
      </c>
      <c r="G40">
        <v>120</v>
      </c>
      <c r="H40">
        <v>20</v>
      </c>
      <c r="I40">
        <v>28420</v>
      </c>
      <c r="J40">
        <v>1989.4</v>
      </c>
      <c r="K40">
        <v>26430.6</v>
      </c>
      <c r="L40">
        <v>14210</v>
      </c>
      <c r="M40">
        <v>12220.6</v>
      </c>
      <c r="N40" s="4">
        <v>45261</v>
      </c>
      <c r="O40">
        <v>12</v>
      </c>
      <c r="P40" t="s">
        <v>29</v>
      </c>
      <c r="Q40">
        <v>2023</v>
      </c>
    </row>
    <row r="41" spans="1:17" x14ac:dyDescent="0.25">
      <c r="A41">
        <v>40</v>
      </c>
      <c r="B41" t="s">
        <v>17</v>
      </c>
      <c r="C41" t="s">
        <v>25</v>
      </c>
      <c r="D41" t="s">
        <v>26</v>
      </c>
      <c r="E41" t="s">
        <v>33</v>
      </c>
      <c r="F41">
        <v>588</v>
      </c>
      <c r="G41">
        <v>120</v>
      </c>
      <c r="H41">
        <v>20</v>
      </c>
      <c r="I41">
        <v>11760</v>
      </c>
      <c r="J41">
        <v>823.2</v>
      </c>
      <c r="K41">
        <v>10936.8</v>
      </c>
      <c r="L41">
        <v>5880</v>
      </c>
      <c r="M41">
        <v>5056.8</v>
      </c>
      <c r="N41" s="4">
        <v>45261</v>
      </c>
      <c r="O41">
        <v>12</v>
      </c>
      <c r="P41" t="s">
        <v>29</v>
      </c>
      <c r="Q41">
        <v>2023</v>
      </c>
    </row>
    <row r="42" spans="1:17" x14ac:dyDescent="0.25">
      <c r="A42">
        <v>41</v>
      </c>
      <c r="B42" t="s">
        <v>17</v>
      </c>
      <c r="C42" t="s">
        <v>22</v>
      </c>
      <c r="D42" t="s">
        <v>23</v>
      </c>
      <c r="E42" t="s">
        <v>33</v>
      </c>
      <c r="F42">
        <v>2682</v>
      </c>
      <c r="G42">
        <v>250</v>
      </c>
      <c r="H42">
        <v>20</v>
      </c>
      <c r="I42">
        <v>53640</v>
      </c>
      <c r="J42">
        <v>4827.6000000000004</v>
      </c>
      <c r="K42">
        <v>48812.4</v>
      </c>
      <c r="L42">
        <v>26820</v>
      </c>
      <c r="M42">
        <v>21992.400000000001</v>
      </c>
      <c r="N42" s="4">
        <v>45231</v>
      </c>
      <c r="O42">
        <v>11</v>
      </c>
      <c r="P42" t="s">
        <v>21</v>
      </c>
      <c r="Q42">
        <v>2023</v>
      </c>
    </row>
    <row r="43" spans="1:17" x14ac:dyDescent="0.25">
      <c r="A43">
        <v>42</v>
      </c>
      <c r="B43" t="s">
        <v>17</v>
      </c>
      <c r="C43" t="s">
        <v>25</v>
      </c>
      <c r="D43" t="s">
        <v>32</v>
      </c>
      <c r="E43" t="s">
        <v>34</v>
      </c>
      <c r="F43">
        <v>2992</v>
      </c>
      <c r="G43">
        <v>5</v>
      </c>
      <c r="H43">
        <v>20</v>
      </c>
      <c r="I43">
        <v>59840</v>
      </c>
      <c r="J43">
        <v>6582.4</v>
      </c>
      <c r="K43">
        <v>53257.599999999999</v>
      </c>
      <c r="L43">
        <v>29920</v>
      </c>
      <c r="M43">
        <v>23337.599999999999</v>
      </c>
      <c r="N43" s="4">
        <v>45200</v>
      </c>
      <c r="O43">
        <v>10</v>
      </c>
      <c r="P43" t="s">
        <v>28</v>
      </c>
      <c r="Q43">
        <v>2023</v>
      </c>
    </row>
    <row r="44" spans="1:17" x14ac:dyDescent="0.25">
      <c r="A44">
        <v>43</v>
      </c>
      <c r="B44" t="s">
        <v>17</v>
      </c>
      <c r="C44" t="s">
        <v>25</v>
      </c>
      <c r="D44" t="s">
        <v>19</v>
      </c>
      <c r="E44" t="s">
        <v>34</v>
      </c>
      <c r="F44">
        <v>2992</v>
      </c>
      <c r="G44">
        <v>10</v>
      </c>
      <c r="H44">
        <v>20</v>
      </c>
      <c r="I44">
        <v>59840</v>
      </c>
      <c r="J44">
        <v>6582.4</v>
      </c>
      <c r="K44">
        <v>53257.599999999999</v>
      </c>
      <c r="L44">
        <v>29920</v>
      </c>
      <c r="M44">
        <v>23337.599999999999</v>
      </c>
      <c r="N44" s="4">
        <v>45200</v>
      </c>
      <c r="O44">
        <v>10</v>
      </c>
      <c r="P44" t="s">
        <v>28</v>
      </c>
      <c r="Q44">
        <v>2023</v>
      </c>
    </row>
    <row r="45" spans="1:17" x14ac:dyDescent="0.25">
      <c r="A45">
        <v>44</v>
      </c>
      <c r="B45" t="s">
        <v>17</v>
      </c>
      <c r="C45" t="s">
        <v>22</v>
      </c>
      <c r="D45" t="s">
        <v>26</v>
      </c>
      <c r="E45" t="s">
        <v>34</v>
      </c>
      <c r="F45">
        <v>2805</v>
      </c>
      <c r="G45">
        <v>120</v>
      </c>
      <c r="H45">
        <v>20</v>
      </c>
      <c r="I45">
        <v>56100</v>
      </c>
      <c r="J45">
        <v>6171</v>
      </c>
      <c r="K45">
        <v>49929</v>
      </c>
      <c r="L45">
        <v>28050</v>
      </c>
      <c r="M45">
        <v>21879</v>
      </c>
      <c r="N45" s="4">
        <v>45170</v>
      </c>
      <c r="O45">
        <v>9</v>
      </c>
      <c r="P45" t="s">
        <v>24</v>
      </c>
      <c r="Q45">
        <v>2023</v>
      </c>
    </row>
    <row r="46" spans="1:17" x14ac:dyDescent="0.25">
      <c r="A46">
        <v>45</v>
      </c>
      <c r="B46" t="s">
        <v>17</v>
      </c>
      <c r="C46" t="s">
        <v>18</v>
      </c>
      <c r="D46" t="s">
        <v>23</v>
      </c>
      <c r="E46" t="s">
        <v>34</v>
      </c>
      <c r="F46">
        <v>2935</v>
      </c>
      <c r="G46">
        <v>250</v>
      </c>
      <c r="H46">
        <v>20</v>
      </c>
      <c r="I46">
        <v>58700</v>
      </c>
      <c r="J46">
        <v>6457</v>
      </c>
      <c r="K46">
        <v>52243</v>
      </c>
      <c r="L46">
        <v>29350</v>
      </c>
      <c r="M46">
        <v>22893</v>
      </c>
      <c r="N46" s="4">
        <v>45231</v>
      </c>
      <c r="O46">
        <v>11</v>
      </c>
      <c r="P46" t="s">
        <v>21</v>
      </c>
      <c r="Q46">
        <v>2023</v>
      </c>
    </row>
    <row r="47" spans="1:17" x14ac:dyDescent="0.25">
      <c r="A47">
        <v>46</v>
      </c>
      <c r="B47" t="s">
        <v>17</v>
      </c>
      <c r="C47" t="s">
        <v>30</v>
      </c>
      <c r="D47" t="s">
        <v>32</v>
      </c>
      <c r="E47" t="s">
        <v>34</v>
      </c>
      <c r="F47">
        <v>1715</v>
      </c>
      <c r="G47">
        <v>5</v>
      </c>
      <c r="H47">
        <v>20</v>
      </c>
      <c r="I47">
        <v>34300</v>
      </c>
      <c r="J47">
        <v>4116</v>
      </c>
      <c r="K47">
        <v>30184</v>
      </c>
      <c r="L47">
        <v>17150</v>
      </c>
      <c r="M47">
        <v>13034</v>
      </c>
      <c r="N47" s="4">
        <v>45200</v>
      </c>
      <c r="O47">
        <v>10</v>
      </c>
      <c r="P47" t="s">
        <v>28</v>
      </c>
      <c r="Q47">
        <v>2023</v>
      </c>
    </row>
    <row r="48" spans="1:17" x14ac:dyDescent="0.25">
      <c r="A48">
        <v>47</v>
      </c>
      <c r="B48" t="s">
        <v>17</v>
      </c>
      <c r="C48" t="s">
        <v>30</v>
      </c>
      <c r="D48" t="s">
        <v>19</v>
      </c>
      <c r="E48" t="s">
        <v>34</v>
      </c>
      <c r="F48">
        <v>1715</v>
      </c>
      <c r="G48">
        <v>10</v>
      </c>
      <c r="H48">
        <v>20</v>
      </c>
      <c r="I48">
        <v>34300</v>
      </c>
      <c r="J48">
        <v>4116</v>
      </c>
      <c r="K48">
        <v>30184</v>
      </c>
      <c r="L48">
        <v>17150</v>
      </c>
      <c r="M48">
        <v>13034</v>
      </c>
      <c r="N48" s="4">
        <v>45200</v>
      </c>
      <c r="O48">
        <v>10</v>
      </c>
      <c r="P48" t="s">
        <v>28</v>
      </c>
      <c r="Q48">
        <v>2023</v>
      </c>
    </row>
    <row r="49" spans="1:17" x14ac:dyDescent="0.25">
      <c r="A49">
        <v>48</v>
      </c>
      <c r="B49" t="s">
        <v>17</v>
      </c>
      <c r="C49" t="s">
        <v>25</v>
      </c>
      <c r="D49" t="s">
        <v>35</v>
      </c>
      <c r="E49" t="s">
        <v>34</v>
      </c>
      <c r="F49">
        <v>442</v>
      </c>
      <c r="G49">
        <v>3</v>
      </c>
      <c r="H49">
        <v>20</v>
      </c>
      <c r="I49">
        <v>8840</v>
      </c>
      <c r="J49">
        <v>1149.2</v>
      </c>
      <c r="K49">
        <v>7690.8</v>
      </c>
      <c r="L49">
        <v>4420</v>
      </c>
      <c r="M49">
        <v>3270.8</v>
      </c>
      <c r="N49" s="4">
        <v>45170</v>
      </c>
      <c r="O49">
        <v>9</v>
      </c>
      <c r="P49" t="s">
        <v>24</v>
      </c>
      <c r="Q49">
        <v>2023</v>
      </c>
    </row>
    <row r="50" spans="1:17" x14ac:dyDescent="0.25">
      <c r="A50">
        <v>49</v>
      </c>
      <c r="B50" t="s">
        <v>17</v>
      </c>
      <c r="C50" t="s">
        <v>46</v>
      </c>
      <c r="D50" t="s">
        <v>19</v>
      </c>
      <c r="E50" t="s">
        <v>34</v>
      </c>
      <c r="F50">
        <v>267</v>
      </c>
      <c r="G50">
        <v>10</v>
      </c>
      <c r="H50">
        <v>20</v>
      </c>
      <c r="I50">
        <v>5340</v>
      </c>
      <c r="J50">
        <v>801</v>
      </c>
      <c r="K50">
        <v>4539</v>
      </c>
      <c r="L50">
        <v>2670</v>
      </c>
      <c r="M50">
        <v>1869</v>
      </c>
      <c r="N50" s="4">
        <v>45200</v>
      </c>
      <c r="O50">
        <v>10</v>
      </c>
      <c r="P50" t="s">
        <v>28</v>
      </c>
      <c r="Q50">
        <v>2023</v>
      </c>
    </row>
    <row r="51" spans="1:17" x14ac:dyDescent="0.25">
      <c r="A51">
        <v>50</v>
      </c>
      <c r="B51" t="s">
        <v>17</v>
      </c>
      <c r="C51" t="s">
        <v>46</v>
      </c>
      <c r="D51" t="s">
        <v>23</v>
      </c>
      <c r="E51" t="s">
        <v>34</v>
      </c>
      <c r="F51">
        <v>267</v>
      </c>
      <c r="G51">
        <v>250</v>
      </c>
      <c r="H51">
        <v>20</v>
      </c>
      <c r="I51">
        <v>5340</v>
      </c>
      <c r="J51">
        <v>801</v>
      </c>
      <c r="K51">
        <v>4539</v>
      </c>
      <c r="L51">
        <v>2670</v>
      </c>
      <c r="M51">
        <v>1869</v>
      </c>
      <c r="N51" s="4">
        <v>45200</v>
      </c>
      <c r="O51">
        <v>10</v>
      </c>
      <c r="P51" t="s">
        <v>28</v>
      </c>
      <c r="Q51">
        <v>2023</v>
      </c>
    </row>
    <row r="52" spans="1:17" x14ac:dyDescent="0.25">
      <c r="A52">
        <v>51</v>
      </c>
      <c r="B52" t="s">
        <v>17</v>
      </c>
      <c r="C52" t="s">
        <v>18</v>
      </c>
      <c r="D52" t="s">
        <v>26</v>
      </c>
      <c r="E52" t="s">
        <v>27</v>
      </c>
      <c r="F52">
        <v>2092</v>
      </c>
      <c r="G52">
        <v>120</v>
      </c>
      <c r="H52">
        <v>7</v>
      </c>
      <c r="I52">
        <v>14644</v>
      </c>
      <c r="J52">
        <v>146.44</v>
      </c>
      <c r="K52">
        <v>14497.56</v>
      </c>
      <c r="L52">
        <v>10460</v>
      </c>
      <c r="M52">
        <v>4037.56</v>
      </c>
      <c r="N52" s="4">
        <v>45231</v>
      </c>
      <c r="O52">
        <v>11</v>
      </c>
      <c r="P52" t="s">
        <v>21</v>
      </c>
      <c r="Q52">
        <v>2023</v>
      </c>
    </row>
    <row r="53" spans="1:17" x14ac:dyDescent="0.25">
      <c r="A53">
        <v>52</v>
      </c>
      <c r="B53" t="s">
        <v>17</v>
      </c>
      <c r="C53" t="s">
        <v>22</v>
      </c>
      <c r="D53" t="s">
        <v>35</v>
      </c>
      <c r="E53" t="s">
        <v>27</v>
      </c>
      <c r="F53">
        <v>2145</v>
      </c>
      <c r="G53">
        <v>3</v>
      </c>
      <c r="H53">
        <v>7</v>
      </c>
      <c r="I53">
        <v>15015</v>
      </c>
      <c r="J53">
        <v>300.3</v>
      </c>
      <c r="K53">
        <v>14714.7</v>
      </c>
      <c r="L53">
        <v>10725</v>
      </c>
      <c r="M53">
        <v>3989.7</v>
      </c>
      <c r="N53" s="4">
        <v>45231</v>
      </c>
      <c r="O53">
        <v>11</v>
      </c>
      <c r="P53" t="s">
        <v>21</v>
      </c>
      <c r="Q53">
        <v>2023</v>
      </c>
    </row>
    <row r="54" spans="1:17" x14ac:dyDescent="0.25">
      <c r="A54">
        <v>53</v>
      </c>
      <c r="B54" t="s">
        <v>17</v>
      </c>
      <c r="C54" t="s">
        <v>46</v>
      </c>
      <c r="D54" t="s">
        <v>19</v>
      </c>
      <c r="E54" t="s">
        <v>27</v>
      </c>
      <c r="F54">
        <v>2013</v>
      </c>
      <c r="G54">
        <v>10</v>
      </c>
      <c r="H54">
        <v>7</v>
      </c>
      <c r="I54">
        <v>14091</v>
      </c>
      <c r="J54">
        <v>281.82</v>
      </c>
      <c r="K54">
        <v>13809.18</v>
      </c>
      <c r="L54">
        <v>10065</v>
      </c>
      <c r="M54">
        <v>3744.18</v>
      </c>
      <c r="N54" s="4">
        <v>45261</v>
      </c>
      <c r="O54">
        <v>12</v>
      </c>
      <c r="P54" t="s">
        <v>29</v>
      </c>
      <c r="Q54">
        <v>2023</v>
      </c>
    </row>
    <row r="55" spans="1:17" x14ac:dyDescent="0.25">
      <c r="A55">
        <v>54</v>
      </c>
      <c r="B55" t="s">
        <v>17</v>
      </c>
      <c r="C55" t="s">
        <v>30</v>
      </c>
      <c r="D55" t="s">
        <v>19</v>
      </c>
      <c r="E55" t="s">
        <v>27</v>
      </c>
      <c r="F55">
        <v>1760</v>
      </c>
      <c r="G55">
        <v>10</v>
      </c>
      <c r="H55">
        <v>7</v>
      </c>
      <c r="I55">
        <v>12320</v>
      </c>
      <c r="J55">
        <v>369.6</v>
      </c>
      <c r="K55">
        <v>11950.4</v>
      </c>
      <c r="L55">
        <v>8800</v>
      </c>
      <c r="M55">
        <v>3150.4</v>
      </c>
      <c r="N55" s="4">
        <v>45170</v>
      </c>
      <c r="O55">
        <v>9</v>
      </c>
      <c r="P55" t="s">
        <v>24</v>
      </c>
      <c r="Q55">
        <v>2023</v>
      </c>
    </row>
    <row r="56" spans="1:17" x14ac:dyDescent="0.25">
      <c r="A56">
        <v>55</v>
      </c>
      <c r="B56" t="s">
        <v>17</v>
      </c>
      <c r="C56" t="s">
        <v>18</v>
      </c>
      <c r="D56" t="s">
        <v>35</v>
      </c>
      <c r="E56" t="s">
        <v>27</v>
      </c>
      <c r="F56">
        <v>2851</v>
      </c>
      <c r="G56">
        <v>3</v>
      </c>
      <c r="H56">
        <v>7</v>
      </c>
      <c r="I56">
        <v>19957</v>
      </c>
      <c r="J56">
        <v>798.28</v>
      </c>
      <c r="K56">
        <v>19158.72</v>
      </c>
      <c r="L56">
        <v>14255</v>
      </c>
      <c r="M56">
        <v>4903.72</v>
      </c>
      <c r="N56" s="4">
        <v>45200</v>
      </c>
      <c r="O56">
        <v>10</v>
      </c>
      <c r="P56" t="s">
        <v>28</v>
      </c>
      <c r="Q56">
        <v>2023</v>
      </c>
    </row>
    <row r="57" spans="1:17" x14ac:dyDescent="0.25">
      <c r="A57">
        <v>56</v>
      </c>
      <c r="B57" t="s">
        <v>17</v>
      </c>
      <c r="C57" t="s">
        <v>18</v>
      </c>
      <c r="D57" t="s">
        <v>32</v>
      </c>
      <c r="E57" t="s">
        <v>27</v>
      </c>
      <c r="F57">
        <v>2851</v>
      </c>
      <c r="G57">
        <v>5</v>
      </c>
      <c r="H57">
        <v>7</v>
      </c>
      <c r="I57">
        <v>19957</v>
      </c>
      <c r="J57">
        <v>798.28</v>
      </c>
      <c r="K57">
        <v>19158.72</v>
      </c>
      <c r="L57">
        <v>14255</v>
      </c>
      <c r="M57">
        <v>4903.72</v>
      </c>
      <c r="N57" s="4">
        <v>45200</v>
      </c>
      <c r="O57">
        <v>10</v>
      </c>
      <c r="P57" t="s">
        <v>28</v>
      </c>
      <c r="Q57">
        <v>2023</v>
      </c>
    </row>
    <row r="58" spans="1:17" x14ac:dyDescent="0.25">
      <c r="A58">
        <v>57</v>
      </c>
      <c r="B58" t="s">
        <v>17</v>
      </c>
      <c r="C58" t="s">
        <v>25</v>
      </c>
      <c r="D58" t="s">
        <v>32</v>
      </c>
      <c r="E58" t="s">
        <v>33</v>
      </c>
      <c r="F58">
        <v>1159</v>
      </c>
      <c r="G58">
        <v>5</v>
      </c>
      <c r="H58">
        <v>7</v>
      </c>
      <c r="I58">
        <v>8113</v>
      </c>
      <c r="J58">
        <v>405.65</v>
      </c>
      <c r="K58">
        <v>7707.35</v>
      </c>
      <c r="L58">
        <v>5795</v>
      </c>
      <c r="M58">
        <v>1912.35</v>
      </c>
      <c r="N58" s="4">
        <v>45200</v>
      </c>
      <c r="O58">
        <v>10</v>
      </c>
      <c r="P58" t="s">
        <v>28</v>
      </c>
      <c r="Q58">
        <v>2023</v>
      </c>
    </row>
    <row r="59" spans="1:17" x14ac:dyDescent="0.25">
      <c r="A59">
        <v>58</v>
      </c>
      <c r="B59" t="s">
        <v>17</v>
      </c>
      <c r="C59" t="s">
        <v>18</v>
      </c>
      <c r="D59" t="s">
        <v>19</v>
      </c>
      <c r="E59" t="s">
        <v>33</v>
      </c>
      <c r="F59">
        <v>2349</v>
      </c>
      <c r="G59">
        <v>10</v>
      </c>
      <c r="H59">
        <v>7</v>
      </c>
      <c r="I59">
        <v>16443</v>
      </c>
      <c r="J59">
        <v>822.15</v>
      </c>
      <c r="K59">
        <v>15620.85</v>
      </c>
      <c r="L59">
        <v>11745</v>
      </c>
      <c r="M59">
        <v>3875.85</v>
      </c>
      <c r="N59" s="4">
        <v>45170</v>
      </c>
      <c r="O59">
        <v>9</v>
      </c>
      <c r="P59" t="s">
        <v>24</v>
      </c>
      <c r="Q59">
        <v>2023</v>
      </c>
    </row>
    <row r="60" spans="1:17" x14ac:dyDescent="0.25">
      <c r="A60">
        <v>59</v>
      </c>
      <c r="B60" t="s">
        <v>17</v>
      </c>
      <c r="C60" t="s">
        <v>25</v>
      </c>
      <c r="D60" t="s">
        <v>31</v>
      </c>
      <c r="E60" t="s">
        <v>33</v>
      </c>
      <c r="F60">
        <v>1159</v>
      </c>
      <c r="G60">
        <v>260</v>
      </c>
      <c r="H60">
        <v>7</v>
      </c>
      <c r="I60">
        <v>8113</v>
      </c>
      <c r="J60">
        <v>405.65</v>
      </c>
      <c r="K60">
        <v>7707.35</v>
      </c>
      <c r="L60">
        <v>5795</v>
      </c>
      <c r="M60">
        <v>1912.35</v>
      </c>
      <c r="N60" s="4">
        <v>45200</v>
      </c>
      <c r="O60">
        <v>10</v>
      </c>
      <c r="P60" t="s">
        <v>28</v>
      </c>
      <c r="Q60">
        <v>2023</v>
      </c>
    </row>
    <row r="61" spans="1:17" x14ac:dyDescent="0.25">
      <c r="A61">
        <v>60</v>
      </c>
      <c r="B61" t="s">
        <v>17</v>
      </c>
      <c r="C61" t="s">
        <v>25</v>
      </c>
      <c r="D61" t="s">
        <v>35</v>
      </c>
      <c r="E61" t="s">
        <v>33</v>
      </c>
      <c r="F61">
        <v>1016</v>
      </c>
      <c r="G61">
        <v>3</v>
      </c>
      <c r="H61">
        <v>7</v>
      </c>
      <c r="I61">
        <v>7112</v>
      </c>
      <c r="J61">
        <v>355.6</v>
      </c>
      <c r="K61">
        <v>6756.4</v>
      </c>
      <c r="L61">
        <v>5080</v>
      </c>
      <c r="M61">
        <v>1676.4</v>
      </c>
      <c r="N61" s="4">
        <v>45231</v>
      </c>
      <c r="O61">
        <v>11</v>
      </c>
      <c r="P61" t="s">
        <v>21</v>
      </c>
      <c r="Q61">
        <v>2023</v>
      </c>
    </row>
    <row r="62" spans="1:17" x14ac:dyDescent="0.25">
      <c r="A62">
        <v>61</v>
      </c>
      <c r="B62" t="s">
        <v>17</v>
      </c>
      <c r="C62" t="s">
        <v>22</v>
      </c>
      <c r="D62" t="s">
        <v>19</v>
      </c>
      <c r="E62" t="s">
        <v>33</v>
      </c>
      <c r="F62">
        <v>2136</v>
      </c>
      <c r="G62">
        <v>10</v>
      </c>
      <c r="H62">
        <v>7</v>
      </c>
      <c r="I62">
        <v>14952</v>
      </c>
      <c r="J62">
        <v>747.6</v>
      </c>
      <c r="K62">
        <v>14204.4</v>
      </c>
      <c r="L62">
        <v>10680</v>
      </c>
      <c r="M62">
        <v>3524.4</v>
      </c>
      <c r="N62" s="4">
        <v>45261</v>
      </c>
      <c r="O62">
        <v>12</v>
      </c>
      <c r="P62" t="s">
        <v>29</v>
      </c>
      <c r="Q62">
        <v>2023</v>
      </c>
    </row>
    <row r="63" spans="1:17" x14ac:dyDescent="0.25">
      <c r="A63">
        <v>62</v>
      </c>
      <c r="B63" t="s">
        <v>17</v>
      </c>
      <c r="C63" t="s">
        <v>46</v>
      </c>
      <c r="D63" t="s">
        <v>35</v>
      </c>
      <c r="E63" t="s">
        <v>33</v>
      </c>
      <c r="F63">
        <v>263</v>
      </c>
      <c r="G63">
        <v>3</v>
      </c>
      <c r="H63">
        <v>7</v>
      </c>
      <c r="I63">
        <v>1841</v>
      </c>
      <c r="J63">
        <v>110.46</v>
      </c>
      <c r="K63">
        <v>1730.54</v>
      </c>
      <c r="L63">
        <v>1315</v>
      </c>
      <c r="M63">
        <v>415.54</v>
      </c>
      <c r="N63" s="4">
        <v>45231</v>
      </c>
      <c r="O63">
        <v>11</v>
      </c>
      <c r="P63" t="s">
        <v>21</v>
      </c>
      <c r="Q63">
        <v>2023</v>
      </c>
    </row>
    <row r="64" spans="1:17" x14ac:dyDescent="0.25">
      <c r="A64">
        <v>63</v>
      </c>
      <c r="B64" t="s">
        <v>17</v>
      </c>
      <c r="C64" t="s">
        <v>22</v>
      </c>
      <c r="D64" t="s">
        <v>32</v>
      </c>
      <c r="E64" t="s">
        <v>33</v>
      </c>
      <c r="F64">
        <v>1403</v>
      </c>
      <c r="G64">
        <v>5</v>
      </c>
      <c r="H64">
        <v>7</v>
      </c>
      <c r="I64">
        <v>9821</v>
      </c>
      <c r="J64">
        <v>589.26</v>
      </c>
      <c r="K64">
        <v>9231.74</v>
      </c>
      <c r="L64">
        <v>7015</v>
      </c>
      <c r="M64">
        <v>2216.7399999999998</v>
      </c>
      <c r="N64" s="4">
        <v>45200</v>
      </c>
      <c r="O64">
        <v>10</v>
      </c>
      <c r="P64" t="s">
        <v>28</v>
      </c>
      <c r="Q64">
        <v>2023</v>
      </c>
    </row>
    <row r="65" spans="1:17" x14ac:dyDescent="0.25">
      <c r="A65">
        <v>64</v>
      </c>
      <c r="B65" t="s">
        <v>17</v>
      </c>
      <c r="C65" t="s">
        <v>22</v>
      </c>
      <c r="D65" t="s">
        <v>31</v>
      </c>
      <c r="E65" t="s">
        <v>33</v>
      </c>
      <c r="F65">
        <v>1403</v>
      </c>
      <c r="G65">
        <v>260</v>
      </c>
      <c r="H65">
        <v>7</v>
      </c>
      <c r="I65">
        <v>9821</v>
      </c>
      <c r="J65">
        <v>589.26</v>
      </c>
      <c r="K65">
        <v>9231.74</v>
      </c>
      <c r="L65">
        <v>7015</v>
      </c>
      <c r="M65">
        <v>2216.7399999999998</v>
      </c>
      <c r="N65" s="4">
        <v>45200</v>
      </c>
      <c r="O65">
        <v>10</v>
      </c>
      <c r="P65" t="s">
        <v>28</v>
      </c>
      <c r="Q65">
        <v>2023</v>
      </c>
    </row>
    <row r="66" spans="1:17" x14ac:dyDescent="0.25">
      <c r="A66">
        <v>65</v>
      </c>
      <c r="B66" t="s">
        <v>17</v>
      </c>
      <c r="C66" t="s">
        <v>22</v>
      </c>
      <c r="D66" t="s">
        <v>19</v>
      </c>
      <c r="E66" t="s">
        <v>33</v>
      </c>
      <c r="F66">
        <v>1031</v>
      </c>
      <c r="G66">
        <v>10</v>
      </c>
      <c r="H66">
        <v>7</v>
      </c>
      <c r="I66">
        <v>7217</v>
      </c>
      <c r="J66">
        <v>505.19</v>
      </c>
      <c r="K66">
        <v>6711.81</v>
      </c>
      <c r="L66">
        <v>5155</v>
      </c>
      <c r="M66">
        <v>1556.81</v>
      </c>
      <c r="N66" s="4">
        <v>45170</v>
      </c>
      <c r="O66">
        <v>9</v>
      </c>
      <c r="P66" t="s">
        <v>24</v>
      </c>
      <c r="Q66">
        <v>2023</v>
      </c>
    </row>
    <row r="67" spans="1:17" x14ac:dyDescent="0.25">
      <c r="A67">
        <v>66</v>
      </c>
      <c r="B67" t="s">
        <v>17</v>
      </c>
      <c r="C67" t="s">
        <v>25</v>
      </c>
      <c r="D67" t="s">
        <v>19</v>
      </c>
      <c r="E67" t="s">
        <v>33</v>
      </c>
      <c r="F67">
        <v>2125</v>
      </c>
      <c r="G67">
        <v>10</v>
      </c>
      <c r="H67">
        <v>7</v>
      </c>
      <c r="I67">
        <v>14875</v>
      </c>
      <c r="J67">
        <v>1041.25</v>
      </c>
      <c r="K67">
        <v>13833.75</v>
      </c>
      <c r="L67">
        <v>10625</v>
      </c>
      <c r="M67">
        <v>3208.75</v>
      </c>
      <c r="N67" s="4">
        <v>45261</v>
      </c>
      <c r="O67">
        <v>12</v>
      </c>
      <c r="P67" t="s">
        <v>29</v>
      </c>
      <c r="Q67">
        <v>2023</v>
      </c>
    </row>
    <row r="68" spans="1:17" x14ac:dyDescent="0.25">
      <c r="A68">
        <v>67</v>
      </c>
      <c r="B68" t="s">
        <v>17</v>
      </c>
      <c r="C68" t="s">
        <v>25</v>
      </c>
      <c r="D68" t="s">
        <v>19</v>
      </c>
      <c r="E68" t="s">
        <v>33</v>
      </c>
      <c r="F68">
        <v>2409</v>
      </c>
      <c r="G68">
        <v>10</v>
      </c>
      <c r="H68">
        <v>7</v>
      </c>
      <c r="I68">
        <v>16863</v>
      </c>
      <c r="J68">
        <v>1349.04</v>
      </c>
      <c r="K68">
        <v>15513.96</v>
      </c>
      <c r="L68">
        <v>12045</v>
      </c>
      <c r="M68">
        <v>3468.96</v>
      </c>
      <c r="N68" s="4">
        <v>45170</v>
      </c>
      <c r="O68">
        <v>9</v>
      </c>
      <c r="P68" t="s">
        <v>24</v>
      </c>
      <c r="Q68">
        <v>2023</v>
      </c>
    </row>
    <row r="69" spans="1:17" x14ac:dyDescent="0.25">
      <c r="A69">
        <v>68</v>
      </c>
      <c r="B69" t="s">
        <v>17</v>
      </c>
      <c r="C69" t="s">
        <v>30</v>
      </c>
      <c r="D69" t="s">
        <v>19</v>
      </c>
      <c r="E69" t="s">
        <v>33</v>
      </c>
      <c r="F69">
        <v>1946</v>
      </c>
      <c r="G69">
        <v>10</v>
      </c>
      <c r="H69">
        <v>7</v>
      </c>
      <c r="I69">
        <v>13622</v>
      </c>
      <c r="J69">
        <v>1089.76</v>
      </c>
      <c r="K69">
        <v>12532.24</v>
      </c>
      <c r="L69">
        <v>9730</v>
      </c>
      <c r="M69">
        <v>2802.24</v>
      </c>
      <c r="N69" s="4">
        <v>45261</v>
      </c>
      <c r="O69">
        <v>12</v>
      </c>
      <c r="P69" t="s">
        <v>29</v>
      </c>
      <c r="Q69">
        <v>2023</v>
      </c>
    </row>
    <row r="70" spans="1:17" x14ac:dyDescent="0.25">
      <c r="A70">
        <v>69</v>
      </c>
      <c r="B70" t="s">
        <v>17</v>
      </c>
      <c r="C70" t="s">
        <v>18</v>
      </c>
      <c r="D70" t="s">
        <v>32</v>
      </c>
      <c r="E70" t="s">
        <v>33</v>
      </c>
      <c r="F70">
        <v>1611</v>
      </c>
      <c r="G70">
        <v>5</v>
      </c>
      <c r="H70">
        <v>7</v>
      </c>
      <c r="I70">
        <v>11277</v>
      </c>
      <c r="J70">
        <v>1014.93</v>
      </c>
      <c r="K70">
        <v>10262.07</v>
      </c>
      <c r="L70">
        <v>8055</v>
      </c>
      <c r="M70">
        <v>2207.0700000000002</v>
      </c>
      <c r="N70" s="4">
        <v>45261</v>
      </c>
      <c r="O70">
        <v>12</v>
      </c>
      <c r="P70" t="s">
        <v>29</v>
      </c>
      <c r="Q70">
        <v>2023</v>
      </c>
    </row>
    <row r="71" spans="1:17" x14ac:dyDescent="0.25">
      <c r="A71">
        <v>70</v>
      </c>
      <c r="B71" t="s">
        <v>17</v>
      </c>
      <c r="C71" t="s">
        <v>30</v>
      </c>
      <c r="D71" t="s">
        <v>35</v>
      </c>
      <c r="E71" t="s">
        <v>34</v>
      </c>
      <c r="F71">
        <v>2706</v>
      </c>
      <c r="G71">
        <v>3</v>
      </c>
      <c r="H71">
        <v>7</v>
      </c>
      <c r="I71">
        <v>18942</v>
      </c>
      <c r="J71">
        <v>2083.62</v>
      </c>
      <c r="K71">
        <v>16858.38</v>
      </c>
      <c r="L71">
        <v>13530</v>
      </c>
      <c r="M71">
        <v>3328.38</v>
      </c>
      <c r="N71" s="4">
        <v>45231</v>
      </c>
      <c r="O71">
        <v>11</v>
      </c>
      <c r="P71" t="s">
        <v>21</v>
      </c>
      <c r="Q71">
        <v>2023</v>
      </c>
    </row>
    <row r="72" spans="1:17" x14ac:dyDescent="0.25">
      <c r="A72">
        <v>71</v>
      </c>
      <c r="B72" t="s">
        <v>17</v>
      </c>
      <c r="C72" t="s">
        <v>46</v>
      </c>
      <c r="D72" t="s">
        <v>19</v>
      </c>
      <c r="E72" t="s">
        <v>34</v>
      </c>
      <c r="F72">
        <v>380</v>
      </c>
      <c r="G72">
        <v>10</v>
      </c>
      <c r="H72">
        <v>7</v>
      </c>
      <c r="I72">
        <v>2660</v>
      </c>
      <c r="J72">
        <v>292.60000000000002</v>
      </c>
      <c r="K72">
        <v>2367.4</v>
      </c>
      <c r="L72">
        <v>1900</v>
      </c>
      <c r="M72">
        <v>467.4</v>
      </c>
      <c r="N72" s="4">
        <v>45170</v>
      </c>
      <c r="O72">
        <v>9</v>
      </c>
      <c r="P72" t="s">
        <v>24</v>
      </c>
      <c r="Q72">
        <v>2023</v>
      </c>
    </row>
    <row r="73" spans="1:17" x14ac:dyDescent="0.25">
      <c r="A73">
        <v>72</v>
      </c>
      <c r="B73" t="s">
        <v>17</v>
      </c>
      <c r="C73" t="s">
        <v>46</v>
      </c>
      <c r="D73" t="s">
        <v>35</v>
      </c>
      <c r="E73" t="s">
        <v>34</v>
      </c>
      <c r="F73">
        <v>2996</v>
      </c>
      <c r="G73">
        <v>3</v>
      </c>
      <c r="H73">
        <v>7</v>
      </c>
      <c r="I73">
        <v>20972</v>
      </c>
      <c r="J73">
        <v>2936.08</v>
      </c>
      <c r="K73">
        <v>18035.919999999998</v>
      </c>
      <c r="L73">
        <v>14980</v>
      </c>
      <c r="M73">
        <v>3055.92</v>
      </c>
      <c r="N73" s="4">
        <v>45200</v>
      </c>
      <c r="O73">
        <v>10</v>
      </c>
      <c r="P73" t="s">
        <v>28</v>
      </c>
      <c r="Q73">
        <v>2023</v>
      </c>
    </row>
    <row r="74" spans="1:17" x14ac:dyDescent="0.25">
      <c r="A74">
        <v>73</v>
      </c>
      <c r="B74" t="s">
        <v>17</v>
      </c>
      <c r="C74" t="s">
        <v>46</v>
      </c>
      <c r="D74" t="s">
        <v>32</v>
      </c>
      <c r="E74" t="s">
        <v>34</v>
      </c>
      <c r="F74">
        <v>2996</v>
      </c>
      <c r="G74">
        <v>5</v>
      </c>
      <c r="H74">
        <v>7</v>
      </c>
      <c r="I74">
        <v>20972</v>
      </c>
      <c r="J74">
        <v>2936.08</v>
      </c>
      <c r="K74">
        <v>18035.919999999998</v>
      </c>
      <c r="L74">
        <v>14980</v>
      </c>
      <c r="M74">
        <v>3055.92</v>
      </c>
      <c r="N74" s="4">
        <v>45200</v>
      </c>
      <c r="O74">
        <v>10</v>
      </c>
      <c r="P74" t="s">
        <v>28</v>
      </c>
      <c r="Q74">
        <v>2023</v>
      </c>
    </row>
    <row r="75" spans="1:17" x14ac:dyDescent="0.25">
      <c r="A75">
        <v>74</v>
      </c>
      <c r="B75" t="s">
        <v>17</v>
      </c>
      <c r="C75" t="s">
        <v>30</v>
      </c>
      <c r="D75" t="s">
        <v>32</v>
      </c>
      <c r="E75" t="s">
        <v>34</v>
      </c>
      <c r="F75">
        <v>1727</v>
      </c>
      <c r="G75">
        <v>5</v>
      </c>
      <c r="H75">
        <v>7</v>
      </c>
      <c r="I75">
        <v>12089</v>
      </c>
      <c r="J75">
        <v>1692.46</v>
      </c>
      <c r="K75">
        <v>10396.540000000001</v>
      </c>
      <c r="L75">
        <v>8635</v>
      </c>
      <c r="M75">
        <v>1761.54</v>
      </c>
      <c r="N75" s="4">
        <v>45200</v>
      </c>
      <c r="O75">
        <v>10</v>
      </c>
      <c r="P75" t="s">
        <v>28</v>
      </c>
      <c r="Q75">
        <v>2023</v>
      </c>
    </row>
    <row r="76" spans="1:17" x14ac:dyDescent="0.25">
      <c r="A76">
        <v>75</v>
      </c>
      <c r="B76" t="s">
        <v>17</v>
      </c>
      <c r="C76" t="s">
        <v>30</v>
      </c>
      <c r="D76" t="s">
        <v>31</v>
      </c>
      <c r="E76" t="s">
        <v>34</v>
      </c>
      <c r="F76">
        <v>1727</v>
      </c>
      <c r="G76">
        <v>260</v>
      </c>
      <c r="H76">
        <v>7</v>
      </c>
      <c r="I76">
        <v>12089</v>
      </c>
      <c r="J76">
        <v>1692.46</v>
      </c>
      <c r="K76">
        <v>10396.540000000001</v>
      </c>
      <c r="L76">
        <v>8635</v>
      </c>
      <c r="M76">
        <v>1761.54</v>
      </c>
      <c r="N76" s="4">
        <v>45200</v>
      </c>
      <c r="O76">
        <v>10</v>
      </c>
      <c r="P76" t="s">
        <v>28</v>
      </c>
      <c r="Q76">
        <v>2023</v>
      </c>
    </row>
    <row r="77" spans="1:17" x14ac:dyDescent="0.25">
      <c r="A77">
        <v>76</v>
      </c>
      <c r="B77" t="s">
        <v>36</v>
      </c>
      <c r="C77" t="s">
        <v>18</v>
      </c>
      <c r="D77" t="s">
        <v>32</v>
      </c>
      <c r="E77" t="s">
        <v>20</v>
      </c>
      <c r="F77">
        <v>345</v>
      </c>
      <c r="G77">
        <v>5</v>
      </c>
      <c r="H77">
        <v>125</v>
      </c>
      <c r="I77">
        <v>43125</v>
      </c>
      <c r="J77">
        <v>0</v>
      </c>
      <c r="K77">
        <v>43125</v>
      </c>
      <c r="L77">
        <v>41400</v>
      </c>
      <c r="M77">
        <v>1725</v>
      </c>
      <c r="N77" s="4">
        <v>45200</v>
      </c>
      <c r="O77">
        <v>10</v>
      </c>
      <c r="P77" t="s">
        <v>28</v>
      </c>
      <c r="Q77">
        <v>2023</v>
      </c>
    </row>
    <row r="78" spans="1:17" x14ac:dyDescent="0.25">
      <c r="A78">
        <v>77</v>
      </c>
      <c r="B78" t="s">
        <v>36</v>
      </c>
      <c r="C78" t="s">
        <v>18</v>
      </c>
      <c r="D78" t="s">
        <v>26</v>
      </c>
      <c r="E78" t="s">
        <v>20</v>
      </c>
      <c r="F78">
        <v>345</v>
      </c>
      <c r="G78">
        <v>120</v>
      </c>
      <c r="H78">
        <v>125</v>
      </c>
      <c r="I78">
        <v>43125</v>
      </c>
      <c r="J78">
        <v>0</v>
      </c>
      <c r="K78">
        <v>43125</v>
      </c>
      <c r="L78">
        <v>41400</v>
      </c>
      <c r="M78">
        <v>1725</v>
      </c>
      <c r="N78" s="4">
        <v>45200</v>
      </c>
      <c r="O78">
        <v>10</v>
      </c>
      <c r="P78" t="s">
        <v>28</v>
      </c>
      <c r="Q78">
        <v>2023</v>
      </c>
    </row>
    <row r="79" spans="1:17" x14ac:dyDescent="0.25">
      <c r="A79">
        <v>78</v>
      </c>
      <c r="B79" t="s">
        <v>36</v>
      </c>
      <c r="C79" t="s">
        <v>46</v>
      </c>
      <c r="D79" t="s">
        <v>35</v>
      </c>
      <c r="E79" t="s">
        <v>27</v>
      </c>
      <c r="F79">
        <v>330</v>
      </c>
      <c r="G79">
        <v>3</v>
      </c>
      <c r="H79">
        <v>125</v>
      </c>
      <c r="I79">
        <v>41250</v>
      </c>
      <c r="J79">
        <v>412.5</v>
      </c>
      <c r="K79">
        <v>40837.5</v>
      </c>
      <c r="L79">
        <v>39600</v>
      </c>
      <c r="M79">
        <v>1237.5</v>
      </c>
      <c r="N79" s="4">
        <v>45170</v>
      </c>
      <c r="O79">
        <v>9</v>
      </c>
      <c r="P79" t="s">
        <v>24</v>
      </c>
      <c r="Q79">
        <v>2023</v>
      </c>
    </row>
    <row r="80" spans="1:17" x14ac:dyDescent="0.25">
      <c r="A80">
        <v>79</v>
      </c>
      <c r="B80" t="s">
        <v>37</v>
      </c>
      <c r="C80" t="s">
        <v>25</v>
      </c>
      <c r="D80" t="s">
        <v>35</v>
      </c>
      <c r="E80" t="s">
        <v>27</v>
      </c>
      <c r="F80">
        <v>766</v>
      </c>
      <c r="G80">
        <v>3</v>
      </c>
      <c r="H80">
        <v>12</v>
      </c>
      <c r="I80">
        <v>9192</v>
      </c>
      <c r="J80">
        <v>91.92</v>
      </c>
      <c r="K80">
        <v>9100.08</v>
      </c>
      <c r="L80">
        <v>2298</v>
      </c>
      <c r="M80">
        <v>6802.08</v>
      </c>
      <c r="N80" s="4">
        <v>45200</v>
      </c>
      <c r="O80">
        <v>10</v>
      </c>
      <c r="P80" t="s">
        <v>28</v>
      </c>
      <c r="Q80">
        <v>2023</v>
      </c>
    </row>
    <row r="81" spans="1:17" x14ac:dyDescent="0.25">
      <c r="A81">
        <v>80</v>
      </c>
      <c r="B81" t="s">
        <v>38</v>
      </c>
      <c r="C81" t="s">
        <v>30</v>
      </c>
      <c r="D81" t="s">
        <v>35</v>
      </c>
      <c r="E81" t="s">
        <v>27</v>
      </c>
      <c r="F81">
        <v>494</v>
      </c>
      <c r="G81">
        <v>3</v>
      </c>
      <c r="H81">
        <v>300</v>
      </c>
      <c r="I81">
        <v>148200</v>
      </c>
      <c r="J81">
        <v>1482</v>
      </c>
      <c r="K81">
        <v>146718</v>
      </c>
      <c r="L81">
        <v>123500</v>
      </c>
      <c r="M81">
        <v>23218</v>
      </c>
      <c r="N81" s="4">
        <v>45200</v>
      </c>
      <c r="O81">
        <v>10</v>
      </c>
      <c r="P81" t="s">
        <v>28</v>
      </c>
      <c r="Q81">
        <v>2023</v>
      </c>
    </row>
    <row r="82" spans="1:17" x14ac:dyDescent="0.25">
      <c r="A82">
        <v>81</v>
      </c>
      <c r="B82" t="s">
        <v>38</v>
      </c>
      <c r="C82" t="s">
        <v>46</v>
      </c>
      <c r="D82" t="s">
        <v>32</v>
      </c>
      <c r="E82" t="s">
        <v>27</v>
      </c>
      <c r="F82">
        <v>2498</v>
      </c>
      <c r="G82">
        <v>5</v>
      </c>
      <c r="H82">
        <v>300</v>
      </c>
      <c r="I82">
        <v>749400</v>
      </c>
      <c r="J82">
        <v>7494</v>
      </c>
      <c r="K82">
        <v>741906</v>
      </c>
      <c r="L82">
        <v>624500</v>
      </c>
      <c r="M82">
        <v>117406</v>
      </c>
      <c r="N82" s="4">
        <v>45170</v>
      </c>
      <c r="O82">
        <v>9</v>
      </c>
      <c r="P82" t="s">
        <v>24</v>
      </c>
      <c r="Q82">
        <v>2023</v>
      </c>
    </row>
    <row r="83" spans="1:17" x14ac:dyDescent="0.25">
      <c r="A83">
        <v>82</v>
      </c>
      <c r="B83" t="s">
        <v>36</v>
      </c>
      <c r="C83" t="s">
        <v>46</v>
      </c>
      <c r="D83" t="s">
        <v>32</v>
      </c>
      <c r="E83" t="s">
        <v>27</v>
      </c>
      <c r="F83">
        <v>663</v>
      </c>
      <c r="G83">
        <v>5</v>
      </c>
      <c r="H83">
        <v>125</v>
      </c>
      <c r="I83">
        <v>82875</v>
      </c>
      <c r="J83">
        <v>828.75</v>
      </c>
      <c r="K83">
        <v>82046.25</v>
      </c>
      <c r="L83">
        <v>79560</v>
      </c>
      <c r="M83">
        <v>2486.25</v>
      </c>
      <c r="N83" s="4">
        <v>45200</v>
      </c>
      <c r="O83">
        <v>10</v>
      </c>
      <c r="P83" t="s">
        <v>28</v>
      </c>
      <c r="Q83">
        <v>2023</v>
      </c>
    </row>
    <row r="84" spans="1:17" x14ac:dyDescent="0.25">
      <c r="A84">
        <v>83</v>
      </c>
      <c r="B84" t="s">
        <v>36</v>
      </c>
      <c r="C84" t="s">
        <v>46</v>
      </c>
      <c r="D84" t="s">
        <v>26</v>
      </c>
      <c r="E84" t="s">
        <v>27</v>
      </c>
      <c r="F84">
        <v>663</v>
      </c>
      <c r="G84">
        <v>120</v>
      </c>
      <c r="H84">
        <v>125</v>
      </c>
      <c r="I84">
        <v>82875</v>
      </c>
      <c r="J84">
        <v>828.75</v>
      </c>
      <c r="K84">
        <v>82046.25</v>
      </c>
      <c r="L84">
        <v>79560</v>
      </c>
      <c r="M84">
        <v>2486.25</v>
      </c>
      <c r="N84" s="4">
        <v>45200</v>
      </c>
      <c r="O84">
        <v>10</v>
      </c>
      <c r="P84" t="s">
        <v>28</v>
      </c>
      <c r="Q84">
        <v>2023</v>
      </c>
    </row>
    <row r="85" spans="1:17" x14ac:dyDescent="0.25">
      <c r="A85">
        <v>84</v>
      </c>
      <c r="B85" t="s">
        <v>38</v>
      </c>
      <c r="C85" t="s">
        <v>30</v>
      </c>
      <c r="D85" t="s">
        <v>23</v>
      </c>
      <c r="E85" t="s">
        <v>27</v>
      </c>
      <c r="F85">
        <v>494</v>
      </c>
      <c r="G85">
        <v>250</v>
      </c>
      <c r="H85">
        <v>300</v>
      </c>
      <c r="I85">
        <v>148200</v>
      </c>
      <c r="J85">
        <v>1482</v>
      </c>
      <c r="K85">
        <v>146718</v>
      </c>
      <c r="L85">
        <v>123500</v>
      </c>
      <c r="M85">
        <v>23218</v>
      </c>
      <c r="N85" s="4">
        <v>45200</v>
      </c>
      <c r="O85">
        <v>10</v>
      </c>
      <c r="P85" t="s">
        <v>28</v>
      </c>
      <c r="Q85">
        <v>2023</v>
      </c>
    </row>
    <row r="86" spans="1:17" x14ac:dyDescent="0.25">
      <c r="A86">
        <v>85</v>
      </c>
      <c r="B86" t="s">
        <v>37</v>
      </c>
      <c r="C86" t="s">
        <v>46</v>
      </c>
      <c r="D86" t="s">
        <v>31</v>
      </c>
      <c r="E86" t="s">
        <v>27</v>
      </c>
      <c r="F86">
        <v>1989</v>
      </c>
      <c r="G86">
        <v>260</v>
      </c>
      <c r="H86">
        <v>12</v>
      </c>
      <c r="I86">
        <v>23868</v>
      </c>
      <c r="J86">
        <v>238.68</v>
      </c>
      <c r="K86">
        <v>23629.32</v>
      </c>
      <c r="L86">
        <v>5967</v>
      </c>
      <c r="M86">
        <v>17662.32</v>
      </c>
      <c r="N86" s="4">
        <v>45170</v>
      </c>
      <c r="O86">
        <v>9</v>
      </c>
      <c r="P86" t="s">
        <v>24</v>
      </c>
      <c r="Q86">
        <v>2023</v>
      </c>
    </row>
    <row r="87" spans="1:17" x14ac:dyDescent="0.25">
      <c r="A87">
        <v>86</v>
      </c>
      <c r="B87" t="s">
        <v>39</v>
      </c>
      <c r="C87" t="s">
        <v>22</v>
      </c>
      <c r="D87" t="s">
        <v>31</v>
      </c>
      <c r="E87" t="s">
        <v>27</v>
      </c>
      <c r="F87">
        <v>321</v>
      </c>
      <c r="G87">
        <v>260</v>
      </c>
      <c r="H87">
        <v>15</v>
      </c>
      <c r="I87">
        <v>4815</v>
      </c>
      <c r="J87">
        <v>48.15</v>
      </c>
      <c r="K87">
        <v>4766.8500000000004</v>
      </c>
      <c r="L87">
        <v>3210</v>
      </c>
      <c r="M87">
        <v>1556.85</v>
      </c>
      <c r="N87" s="4">
        <v>45231</v>
      </c>
      <c r="O87">
        <v>11</v>
      </c>
      <c r="P87" t="s">
        <v>21</v>
      </c>
      <c r="Q87">
        <v>2023</v>
      </c>
    </row>
    <row r="88" spans="1:17" x14ac:dyDescent="0.25">
      <c r="A88">
        <v>87</v>
      </c>
      <c r="B88" t="s">
        <v>38</v>
      </c>
      <c r="C88" t="s">
        <v>25</v>
      </c>
      <c r="D88" t="s">
        <v>35</v>
      </c>
      <c r="E88" t="s">
        <v>27</v>
      </c>
      <c r="F88">
        <v>214</v>
      </c>
      <c r="G88">
        <v>3</v>
      </c>
      <c r="H88">
        <v>300</v>
      </c>
      <c r="I88">
        <v>64200</v>
      </c>
      <c r="J88">
        <v>1284</v>
      </c>
      <c r="K88">
        <v>62916</v>
      </c>
      <c r="L88">
        <v>53500</v>
      </c>
      <c r="M88">
        <v>9416</v>
      </c>
      <c r="N88" s="4">
        <v>45200</v>
      </c>
      <c r="O88">
        <v>10</v>
      </c>
      <c r="P88" t="s">
        <v>28</v>
      </c>
      <c r="Q88">
        <v>2023</v>
      </c>
    </row>
    <row r="89" spans="1:17" x14ac:dyDescent="0.25">
      <c r="A89">
        <v>88</v>
      </c>
      <c r="B89" t="s">
        <v>36</v>
      </c>
      <c r="C89" t="s">
        <v>30</v>
      </c>
      <c r="D89" t="s">
        <v>32</v>
      </c>
      <c r="E89" t="s">
        <v>27</v>
      </c>
      <c r="F89">
        <v>1660</v>
      </c>
      <c r="G89">
        <v>5</v>
      </c>
      <c r="H89">
        <v>125</v>
      </c>
      <c r="I89">
        <v>207500</v>
      </c>
      <c r="J89">
        <v>4150</v>
      </c>
      <c r="K89">
        <v>203350</v>
      </c>
      <c r="L89">
        <v>199200</v>
      </c>
      <c r="M89">
        <v>4150</v>
      </c>
      <c r="N89" s="4">
        <v>45231</v>
      </c>
      <c r="O89">
        <v>11</v>
      </c>
      <c r="P89" t="s">
        <v>21</v>
      </c>
      <c r="Q89">
        <v>2023</v>
      </c>
    </row>
    <row r="90" spans="1:17" x14ac:dyDescent="0.25">
      <c r="A90">
        <v>89</v>
      </c>
      <c r="B90" t="s">
        <v>36</v>
      </c>
      <c r="C90" t="s">
        <v>25</v>
      </c>
      <c r="D90" t="s">
        <v>26</v>
      </c>
      <c r="E90" t="s">
        <v>27</v>
      </c>
      <c r="F90">
        <v>809</v>
      </c>
      <c r="G90">
        <v>120</v>
      </c>
      <c r="H90">
        <v>125</v>
      </c>
      <c r="I90">
        <v>101125</v>
      </c>
      <c r="J90">
        <v>2022.5</v>
      </c>
      <c r="K90">
        <v>99102.5</v>
      </c>
      <c r="L90">
        <v>97080</v>
      </c>
      <c r="M90">
        <v>2022.5</v>
      </c>
      <c r="N90" s="4">
        <v>45200</v>
      </c>
      <c r="O90">
        <v>10</v>
      </c>
      <c r="P90" t="s">
        <v>28</v>
      </c>
      <c r="Q90">
        <v>2023</v>
      </c>
    </row>
    <row r="91" spans="1:17" x14ac:dyDescent="0.25">
      <c r="A91">
        <v>90</v>
      </c>
      <c r="B91" t="s">
        <v>36</v>
      </c>
      <c r="C91" t="s">
        <v>30</v>
      </c>
      <c r="D91" t="s">
        <v>26</v>
      </c>
      <c r="E91" t="s">
        <v>27</v>
      </c>
      <c r="F91">
        <v>2145</v>
      </c>
      <c r="G91">
        <v>120</v>
      </c>
      <c r="H91">
        <v>125</v>
      </c>
      <c r="I91">
        <v>268125</v>
      </c>
      <c r="J91">
        <v>5362.5</v>
      </c>
      <c r="K91">
        <v>262762.5</v>
      </c>
      <c r="L91">
        <v>257400</v>
      </c>
      <c r="M91">
        <v>5362.5</v>
      </c>
      <c r="N91" s="4">
        <v>45200</v>
      </c>
      <c r="O91">
        <v>10</v>
      </c>
      <c r="P91" t="s">
        <v>28</v>
      </c>
      <c r="Q91">
        <v>2023</v>
      </c>
    </row>
    <row r="92" spans="1:17" x14ac:dyDescent="0.25">
      <c r="A92">
        <v>91</v>
      </c>
      <c r="B92" t="s">
        <v>38</v>
      </c>
      <c r="C92" t="s">
        <v>25</v>
      </c>
      <c r="D92" t="s">
        <v>23</v>
      </c>
      <c r="E92" t="s">
        <v>27</v>
      </c>
      <c r="F92">
        <v>214</v>
      </c>
      <c r="G92">
        <v>250</v>
      </c>
      <c r="H92">
        <v>300</v>
      </c>
      <c r="I92">
        <v>64200</v>
      </c>
      <c r="J92">
        <v>1284</v>
      </c>
      <c r="K92">
        <v>62916</v>
      </c>
      <c r="L92">
        <v>53500</v>
      </c>
      <c r="M92">
        <v>9416</v>
      </c>
      <c r="N92" s="4">
        <v>45200</v>
      </c>
      <c r="O92">
        <v>10</v>
      </c>
      <c r="P92" t="s">
        <v>28</v>
      </c>
      <c r="Q92">
        <v>2023</v>
      </c>
    </row>
    <row r="93" spans="1:17" x14ac:dyDescent="0.25">
      <c r="A93">
        <v>92</v>
      </c>
      <c r="B93" t="s">
        <v>37</v>
      </c>
      <c r="C93" t="s">
        <v>18</v>
      </c>
      <c r="D93" t="s">
        <v>35</v>
      </c>
      <c r="E93" t="s">
        <v>27</v>
      </c>
      <c r="F93">
        <v>908</v>
      </c>
      <c r="G93">
        <v>3</v>
      </c>
      <c r="H93">
        <v>12</v>
      </c>
      <c r="I93">
        <v>10896</v>
      </c>
      <c r="J93">
        <v>326.88</v>
      </c>
      <c r="K93">
        <v>10569.12</v>
      </c>
      <c r="L93">
        <v>2724</v>
      </c>
      <c r="M93">
        <v>7845.12</v>
      </c>
      <c r="N93" s="4">
        <v>45261</v>
      </c>
      <c r="O93">
        <v>12</v>
      </c>
      <c r="P93" t="s">
        <v>29</v>
      </c>
      <c r="Q93">
        <v>2023</v>
      </c>
    </row>
    <row r="94" spans="1:17" x14ac:dyDescent="0.25">
      <c r="A94">
        <v>93</v>
      </c>
      <c r="B94" t="s">
        <v>39</v>
      </c>
      <c r="C94" t="s">
        <v>25</v>
      </c>
      <c r="D94" t="s">
        <v>23</v>
      </c>
      <c r="E94" t="s">
        <v>27</v>
      </c>
      <c r="F94">
        <v>1945</v>
      </c>
      <c r="G94">
        <v>250</v>
      </c>
      <c r="H94">
        <v>15</v>
      </c>
      <c r="I94">
        <v>29175</v>
      </c>
      <c r="J94">
        <v>875.25</v>
      </c>
      <c r="K94">
        <v>28299.75</v>
      </c>
      <c r="L94">
        <v>19450</v>
      </c>
      <c r="M94">
        <v>8849.75</v>
      </c>
      <c r="N94" s="4">
        <v>45200</v>
      </c>
      <c r="O94">
        <v>10</v>
      </c>
      <c r="P94" t="s">
        <v>28</v>
      </c>
      <c r="Q94">
        <v>2023</v>
      </c>
    </row>
    <row r="95" spans="1:17" x14ac:dyDescent="0.25">
      <c r="A95">
        <v>94</v>
      </c>
      <c r="B95" t="s">
        <v>39</v>
      </c>
      <c r="C95" t="s">
        <v>30</v>
      </c>
      <c r="D95" t="s">
        <v>23</v>
      </c>
      <c r="E95" t="s">
        <v>27</v>
      </c>
      <c r="F95">
        <v>1514</v>
      </c>
      <c r="G95">
        <v>250</v>
      </c>
      <c r="H95">
        <v>15</v>
      </c>
      <c r="I95">
        <v>22710</v>
      </c>
      <c r="J95">
        <v>908.4</v>
      </c>
      <c r="K95">
        <v>21801.599999999999</v>
      </c>
      <c r="L95">
        <v>15140</v>
      </c>
      <c r="M95">
        <v>6661.6</v>
      </c>
      <c r="N95" s="4">
        <v>45200</v>
      </c>
      <c r="O95">
        <v>10</v>
      </c>
      <c r="P95" t="s">
        <v>28</v>
      </c>
      <c r="Q95">
        <v>2023</v>
      </c>
    </row>
    <row r="96" spans="1:17" x14ac:dyDescent="0.25">
      <c r="A96">
        <v>95</v>
      </c>
      <c r="B96" t="s">
        <v>39</v>
      </c>
      <c r="C96" t="s">
        <v>46</v>
      </c>
      <c r="D96" t="s">
        <v>31</v>
      </c>
      <c r="E96" t="s">
        <v>27</v>
      </c>
      <c r="F96">
        <v>671</v>
      </c>
      <c r="G96">
        <v>260</v>
      </c>
      <c r="H96">
        <v>15</v>
      </c>
      <c r="I96">
        <v>10065</v>
      </c>
      <c r="J96">
        <v>402.6</v>
      </c>
      <c r="K96">
        <v>9662.4</v>
      </c>
      <c r="L96">
        <v>6710</v>
      </c>
      <c r="M96">
        <v>2952.4</v>
      </c>
      <c r="N96" s="4">
        <v>45200</v>
      </c>
      <c r="O96">
        <v>10</v>
      </c>
      <c r="P96" t="s">
        <v>28</v>
      </c>
      <c r="Q96">
        <v>2023</v>
      </c>
    </row>
    <row r="97" spans="1:17" x14ac:dyDescent="0.25">
      <c r="A97">
        <v>96</v>
      </c>
      <c r="B97" t="s">
        <v>38</v>
      </c>
      <c r="C97" t="s">
        <v>30</v>
      </c>
      <c r="D97" t="s">
        <v>32</v>
      </c>
      <c r="E97" t="s">
        <v>33</v>
      </c>
      <c r="F97">
        <v>1100</v>
      </c>
      <c r="G97">
        <v>5</v>
      </c>
      <c r="H97">
        <v>300</v>
      </c>
      <c r="I97">
        <v>330000</v>
      </c>
      <c r="J97">
        <v>16500</v>
      </c>
      <c r="K97">
        <v>313500</v>
      </c>
      <c r="L97">
        <v>275000</v>
      </c>
      <c r="M97">
        <v>38500</v>
      </c>
      <c r="N97" s="4">
        <v>45261</v>
      </c>
      <c r="O97">
        <v>12</v>
      </c>
      <c r="P97" t="s">
        <v>29</v>
      </c>
      <c r="Q97">
        <v>2023</v>
      </c>
    </row>
    <row r="98" spans="1:17" x14ac:dyDescent="0.25">
      <c r="A98">
        <v>97</v>
      </c>
      <c r="B98" t="s">
        <v>36</v>
      </c>
      <c r="C98" t="s">
        <v>22</v>
      </c>
      <c r="D98" t="s">
        <v>26</v>
      </c>
      <c r="E98" t="s">
        <v>33</v>
      </c>
      <c r="F98">
        <v>704</v>
      </c>
      <c r="G98">
        <v>120</v>
      </c>
      <c r="H98">
        <v>125</v>
      </c>
      <c r="I98">
        <v>88000</v>
      </c>
      <c r="J98">
        <v>4400</v>
      </c>
      <c r="K98">
        <v>83600</v>
      </c>
      <c r="L98">
        <v>84480</v>
      </c>
      <c r="M98">
        <v>-880</v>
      </c>
      <c r="N98" s="4">
        <v>45200</v>
      </c>
      <c r="O98">
        <v>10</v>
      </c>
      <c r="P98" t="s">
        <v>28</v>
      </c>
      <c r="Q98">
        <v>2023</v>
      </c>
    </row>
    <row r="99" spans="1:17" x14ac:dyDescent="0.25">
      <c r="A99">
        <v>98</v>
      </c>
      <c r="B99" t="s">
        <v>37</v>
      </c>
      <c r="C99" t="s">
        <v>18</v>
      </c>
      <c r="D99" t="s">
        <v>35</v>
      </c>
      <c r="E99" t="s">
        <v>33</v>
      </c>
      <c r="F99">
        <v>2299</v>
      </c>
      <c r="G99">
        <v>3</v>
      </c>
      <c r="H99">
        <v>12</v>
      </c>
      <c r="I99">
        <v>27588</v>
      </c>
      <c r="J99">
        <v>1655.28</v>
      </c>
      <c r="K99">
        <v>25932.720000000001</v>
      </c>
      <c r="L99">
        <v>6897</v>
      </c>
      <c r="M99">
        <v>19035.72</v>
      </c>
      <c r="N99" s="4">
        <v>45200</v>
      </c>
      <c r="O99">
        <v>10</v>
      </c>
      <c r="P99" t="s">
        <v>28</v>
      </c>
      <c r="Q99">
        <v>2023</v>
      </c>
    </row>
    <row r="100" spans="1:17" x14ac:dyDescent="0.25">
      <c r="A100">
        <v>99</v>
      </c>
      <c r="B100" t="s">
        <v>36</v>
      </c>
      <c r="C100" t="s">
        <v>25</v>
      </c>
      <c r="D100" t="s">
        <v>35</v>
      </c>
      <c r="E100" t="s">
        <v>33</v>
      </c>
      <c r="F100">
        <v>887</v>
      </c>
      <c r="G100">
        <v>3</v>
      </c>
      <c r="H100">
        <v>125</v>
      </c>
      <c r="I100">
        <v>110875</v>
      </c>
      <c r="J100">
        <v>6652.5</v>
      </c>
      <c r="K100">
        <v>104222.5</v>
      </c>
      <c r="L100">
        <v>106440</v>
      </c>
      <c r="M100">
        <v>-2217.5</v>
      </c>
      <c r="N100" s="4">
        <v>45261</v>
      </c>
      <c r="O100">
        <v>12</v>
      </c>
      <c r="P100" t="s">
        <v>29</v>
      </c>
      <c r="Q100">
        <v>2023</v>
      </c>
    </row>
    <row r="101" spans="1:17" x14ac:dyDescent="0.25">
      <c r="A101">
        <v>100</v>
      </c>
      <c r="B101" t="s">
        <v>38</v>
      </c>
      <c r="C101" t="s">
        <v>22</v>
      </c>
      <c r="D101" t="s">
        <v>26</v>
      </c>
      <c r="E101" t="s">
        <v>33</v>
      </c>
      <c r="F101">
        <v>1221</v>
      </c>
      <c r="G101">
        <v>120</v>
      </c>
      <c r="H101">
        <v>300</v>
      </c>
      <c r="I101">
        <v>366300</v>
      </c>
      <c r="J101">
        <v>21978</v>
      </c>
      <c r="K101">
        <v>344322</v>
      </c>
      <c r="L101">
        <v>305250</v>
      </c>
      <c r="M101">
        <v>39072</v>
      </c>
      <c r="N101" s="4">
        <v>45200</v>
      </c>
      <c r="O101">
        <v>10</v>
      </c>
      <c r="P101" t="s">
        <v>28</v>
      </c>
      <c r="Q101">
        <v>2023</v>
      </c>
    </row>
    <row r="102" spans="1:17" x14ac:dyDescent="0.25">
      <c r="A102">
        <v>101</v>
      </c>
      <c r="B102" t="s">
        <v>38</v>
      </c>
      <c r="C102" t="s">
        <v>22</v>
      </c>
      <c r="D102" t="s">
        <v>23</v>
      </c>
      <c r="E102" t="s">
        <v>33</v>
      </c>
      <c r="F102">
        <v>1221</v>
      </c>
      <c r="G102">
        <v>250</v>
      </c>
      <c r="H102">
        <v>300</v>
      </c>
      <c r="I102">
        <v>366300</v>
      </c>
      <c r="J102">
        <v>21978</v>
      </c>
      <c r="K102">
        <v>344322</v>
      </c>
      <c r="L102">
        <v>305250</v>
      </c>
      <c r="M102">
        <v>39072</v>
      </c>
      <c r="N102" s="4">
        <v>45200</v>
      </c>
      <c r="O102">
        <v>10</v>
      </c>
      <c r="P102" t="s">
        <v>28</v>
      </c>
      <c r="Q102">
        <v>2023</v>
      </c>
    </row>
    <row r="103" spans="1:17" x14ac:dyDescent="0.25">
      <c r="A103">
        <v>102</v>
      </c>
      <c r="B103" t="s">
        <v>38</v>
      </c>
      <c r="C103" t="s">
        <v>18</v>
      </c>
      <c r="D103" t="s">
        <v>23</v>
      </c>
      <c r="E103" t="s">
        <v>33</v>
      </c>
      <c r="F103">
        <v>2436</v>
      </c>
      <c r="G103">
        <v>250</v>
      </c>
      <c r="H103">
        <v>300</v>
      </c>
      <c r="I103">
        <v>730800</v>
      </c>
      <c r="J103">
        <v>43848</v>
      </c>
      <c r="K103">
        <v>686952</v>
      </c>
      <c r="L103">
        <v>609000</v>
      </c>
      <c r="M103">
        <v>77952</v>
      </c>
      <c r="N103" s="4">
        <v>45261</v>
      </c>
      <c r="O103">
        <v>12</v>
      </c>
      <c r="P103" t="s">
        <v>29</v>
      </c>
      <c r="Q103">
        <v>2023</v>
      </c>
    </row>
    <row r="104" spans="1:17" x14ac:dyDescent="0.25">
      <c r="A104">
        <v>103</v>
      </c>
      <c r="B104" t="s">
        <v>37</v>
      </c>
      <c r="C104" t="s">
        <v>25</v>
      </c>
      <c r="D104" t="s">
        <v>23</v>
      </c>
      <c r="E104" t="s">
        <v>33</v>
      </c>
      <c r="F104">
        <v>2215</v>
      </c>
      <c r="G104">
        <v>250</v>
      </c>
      <c r="H104">
        <v>12</v>
      </c>
      <c r="I104">
        <v>26580</v>
      </c>
      <c r="J104">
        <v>1860.6</v>
      </c>
      <c r="K104">
        <v>24719.4</v>
      </c>
      <c r="L104">
        <v>6645</v>
      </c>
      <c r="M104">
        <v>18074.400000000001</v>
      </c>
      <c r="N104" s="4">
        <v>45170</v>
      </c>
      <c r="O104">
        <v>9</v>
      </c>
      <c r="P104" t="s">
        <v>24</v>
      </c>
      <c r="Q104">
        <v>2023</v>
      </c>
    </row>
    <row r="105" spans="1:17" x14ac:dyDescent="0.25">
      <c r="A105">
        <v>104</v>
      </c>
      <c r="B105" t="s">
        <v>36</v>
      </c>
      <c r="C105" t="s">
        <v>25</v>
      </c>
      <c r="D105" t="s">
        <v>32</v>
      </c>
      <c r="E105" t="s">
        <v>33</v>
      </c>
      <c r="F105">
        <v>2500</v>
      </c>
      <c r="G105">
        <v>5</v>
      </c>
      <c r="H105">
        <v>125</v>
      </c>
      <c r="I105">
        <v>312500</v>
      </c>
      <c r="J105">
        <v>21875</v>
      </c>
      <c r="K105">
        <v>290625</v>
      </c>
      <c r="L105">
        <v>300000</v>
      </c>
      <c r="M105">
        <v>-9375</v>
      </c>
      <c r="N105" s="4">
        <v>45231</v>
      </c>
      <c r="O105">
        <v>11</v>
      </c>
      <c r="P105" t="s">
        <v>21</v>
      </c>
      <c r="Q105">
        <v>2023</v>
      </c>
    </row>
    <row r="106" spans="1:17" x14ac:dyDescent="0.25">
      <c r="A106">
        <v>105</v>
      </c>
      <c r="B106" t="s">
        <v>36</v>
      </c>
      <c r="C106" t="s">
        <v>25</v>
      </c>
      <c r="D106" t="s">
        <v>31</v>
      </c>
      <c r="E106" t="s">
        <v>33</v>
      </c>
      <c r="F106">
        <v>994</v>
      </c>
      <c r="G106">
        <v>260</v>
      </c>
      <c r="H106">
        <v>125</v>
      </c>
      <c r="I106">
        <v>124250</v>
      </c>
      <c r="J106">
        <v>8697.5</v>
      </c>
      <c r="K106">
        <v>115552.5</v>
      </c>
      <c r="L106">
        <v>119280</v>
      </c>
      <c r="M106">
        <v>-3727.5</v>
      </c>
      <c r="N106" s="4">
        <v>45170</v>
      </c>
      <c r="O106">
        <v>9</v>
      </c>
      <c r="P106" t="s">
        <v>24</v>
      </c>
      <c r="Q106">
        <v>2023</v>
      </c>
    </row>
    <row r="107" spans="1:17" x14ac:dyDescent="0.25">
      <c r="A107">
        <v>106</v>
      </c>
      <c r="B107" t="s">
        <v>38</v>
      </c>
      <c r="C107" t="s">
        <v>18</v>
      </c>
      <c r="D107" t="s">
        <v>32</v>
      </c>
      <c r="E107" t="s">
        <v>33</v>
      </c>
      <c r="F107">
        <v>1283</v>
      </c>
      <c r="G107">
        <v>5</v>
      </c>
      <c r="H107">
        <v>300</v>
      </c>
      <c r="I107">
        <v>384900</v>
      </c>
      <c r="J107">
        <v>30792</v>
      </c>
      <c r="K107">
        <v>354108</v>
      </c>
      <c r="L107">
        <v>320750</v>
      </c>
      <c r="M107">
        <v>33358</v>
      </c>
      <c r="N107" s="4">
        <v>45170</v>
      </c>
      <c r="O107">
        <v>9</v>
      </c>
      <c r="P107" t="s">
        <v>24</v>
      </c>
      <c r="Q107">
        <v>2023</v>
      </c>
    </row>
    <row r="108" spans="1:17" x14ac:dyDescent="0.25">
      <c r="A108">
        <v>107</v>
      </c>
      <c r="B108" t="s">
        <v>38</v>
      </c>
      <c r="C108" t="s">
        <v>22</v>
      </c>
      <c r="D108" t="s">
        <v>26</v>
      </c>
      <c r="E108" t="s">
        <v>33</v>
      </c>
      <c r="F108">
        <v>386</v>
      </c>
      <c r="G108">
        <v>120</v>
      </c>
      <c r="H108">
        <v>300</v>
      </c>
      <c r="I108">
        <v>115800</v>
      </c>
      <c r="J108">
        <v>9264</v>
      </c>
      <c r="K108">
        <v>106536</v>
      </c>
      <c r="L108">
        <v>96500</v>
      </c>
      <c r="M108">
        <v>10036</v>
      </c>
      <c r="N108" s="4">
        <v>45231</v>
      </c>
      <c r="O108">
        <v>11</v>
      </c>
      <c r="P108" t="s">
        <v>21</v>
      </c>
      <c r="Q108">
        <v>2023</v>
      </c>
    </row>
    <row r="109" spans="1:17" x14ac:dyDescent="0.25">
      <c r="A109">
        <v>108</v>
      </c>
      <c r="B109" t="s">
        <v>38</v>
      </c>
      <c r="C109" t="s">
        <v>46</v>
      </c>
      <c r="D109" t="s">
        <v>23</v>
      </c>
      <c r="E109" t="s">
        <v>33</v>
      </c>
      <c r="F109">
        <v>808</v>
      </c>
      <c r="G109">
        <v>250</v>
      </c>
      <c r="H109">
        <v>300</v>
      </c>
      <c r="I109">
        <v>242400</v>
      </c>
      <c r="J109">
        <v>19392</v>
      </c>
      <c r="K109">
        <v>223008</v>
      </c>
      <c r="L109">
        <v>202300</v>
      </c>
      <c r="M109">
        <v>21008</v>
      </c>
      <c r="N109" s="4">
        <v>45261</v>
      </c>
      <c r="O109">
        <v>12</v>
      </c>
      <c r="P109" t="s">
        <v>29</v>
      </c>
      <c r="Q109">
        <v>2023</v>
      </c>
    </row>
    <row r="110" spans="1:17" x14ac:dyDescent="0.25">
      <c r="A110">
        <v>109</v>
      </c>
      <c r="B110" t="s">
        <v>37</v>
      </c>
      <c r="C110" t="s">
        <v>30</v>
      </c>
      <c r="D110" t="s">
        <v>31</v>
      </c>
      <c r="E110" t="s">
        <v>33</v>
      </c>
      <c r="F110">
        <v>1375</v>
      </c>
      <c r="G110">
        <v>260</v>
      </c>
      <c r="H110">
        <v>12</v>
      </c>
      <c r="I110">
        <v>16500</v>
      </c>
      <c r="J110">
        <v>1320</v>
      </c>
      <c r="K110">
        <v>15180</v>
      </c>
      <c r="L110">
        <v>4125</v>
      </c>
      <c r="M110">
        <v>11055</v>
      </c>
      <c r="N110" s="4">
        <v>45261</v>
      </c>
      <c r="O110">
        <v>12</v>
      </c>
      <c r="P110" t="s">
        <v>29</v>
      </c>
      <c r="Q110">
        <v>2023</v>
      </c>
    </row>
    <row r="111" spans="1:17" x14ac:dyDescent="0.25">
      <c r="A111">
        <v>110</v>
      </c>
      <c r="B111" t="s">
        <v>37</v>
      </c>
      <c r="C111" t="s">
        <v>30</v>
      </c>
      <c r="D111" t="s">
        <v>35</v>
      </c>
      <c r="E111" t="s">
        <v>33</v>
      </c>
      <c r="F111">
        <v>367</v>
      </c>
      <c r="G111">
        <v>3</v>
      </c>
      <c r="H111">
        <v>12</v>
      </c>
      <c r="I111">
        <v>4404</v>
      </c>
      <c r="J111">
        <v>396.36</v>
      </c>
      <c r="K111">
        <v>4007.64</v>
      </c>
      <c r="L111">
        <v>1101</v>
      </c>
      <c r="M111">
        <v>2906.64</v>
      </c>
      <c r="N111" s="4">
        <v>45200</v>
      </c>
      <c r="O111">
        <v>10</v>
      </c>
      <c r="P111" t="s">
        <v>28</v>
      </c>
      <c r="Q111">
        <v>2023</v>
      </c>
    </row>
    <row r="112" spans="1:17" x14ac:dyDescent="0.25">
      <c r="A112">
        <v>111</v>
      </c>
      <c r="B112" t="s">
        <v>38</v>
      </c>
      <c r="C112" t="s">
        <v>22</v>
      </c>
      <c r="D112" t="s">
        <v>32</v>
      </c>
      <c r="E112" t="s">
        <v>33</v>
      </c>
      <c r="F112">
        <v>322</v>
      </c>
      <c r="G112">
        <v>5</v>
      </c>
      <c r="H112">
        <v>300</v>
      </c>
      <c r="I112">
        <v>96600</v>
      </c>
      <c r="J112">
        <v>8694</v>
      </c>
      <c r="K112">
        <v>87906</v>
      </c>
      <c r="L112">
        <v>80500</v>
      </c>
      <c r="M112">
        <v>7406</v>
      </c>
      <c r="N112" s="4">
        <v>45170</v>
      </c>
      <c r="O112">
        <v>9</v>
      </c>
      <c r="P112" t="s">
        <v>24</v>
      </c>
      <c r="Q112">
        <v>2023</v>
      </c>
    </row>
    <row r="113" spans="1:17" x14ac:dyDescent="0.25">
      <c r="A113">
        <v>112</v>
      </c>
      <c r="B113" t="s">
        <v>36</v>
      </c>
      <c r="C113" t="s">
        <v>22</v>
      </c>
      <c r="D113" t="s">
        <v>32</v>
      </c>
      <c r="E113" t="s">
        <v>33</v>
      </c>
      <c r="F113">
        <v>1857</v>
      </c>
      <c r="G113">
        <v>5</v>
      </c>
      <c r="H113">
        <v>125</v>
      </c>
      <c r="I113">
        <v>232125</v>
      </c>
      <c r="J113">
        <v>20891.25</v>
      </c>
      <c r="K113">
        <v>211233.75</v>
      </c>
      <c r="L113">
        <v>222840</v>
      </c>
      <c r="M113">
        <v>-11606.25</v>
      </c>
      <c r="N113" s="4">
        <v>45231</v>
      </c>
      <c r="O113">
        <v>11</v>
      </c>
      <c r="P113" t="s">
        <v>21</v>
      </c>
      <c r="Q113">
        <v>2023</v>
      </c>
    </row>
    <row r="114" spans="1:17" x14ac:dyDescent="0.25">
      <c r="A114">
        <v>113</v>
      </c>
      <c r="B114" t="s">
        <v>38</v>
      </c>
      <c r="C114" t="s">
        <v>25</v>
      </c>
      <c r="D114" t="s">
        <v>32</v>
      </c>
      <c r="E114" t="s">
        <v>33</v>
      </c>
      <c r="F114">
        <v>334</v>
      </c>
      <c r="G114">
        <v>5</v>
      </c>
      <c r="H114">
        <v>300</v>
      </c>
      <c r="I114">
        <v>100200</v>
      </c>
      <c r="J114">
        <v>9018</v>
      </c>
      <c r="K114">
        <v>91182</v>
      </c>
      <c r="L114">
        <v>83500</v>
      </c>
      <c r="M114">
        <v>7682</v>
      </c>
      <c r="N114" s="4">
        <v>45261</v>
      </c>
      <c r="O114">
        <v>12</v>
      </c>
      <c r="P114" t="s">
        <v>29</v>
      </c>
      <c r="Q114">
        <v>2023</v>
      </c>
    </row>
    <row r="115" spans="1:17" x14ac:dyDescent="0.25">
      <c r="A115">
        <v>114</v>
      </c>
      <c r="B115" t="s">
        <v>37</v>
      </c>
      <c r="C115" t="s">
        <v>22</v>
      </c>
      <c r="D115" t="s">
        <v>23</v>
      </c>
      <c r="E115" t="s">
        <v>33</v>
      </c>
      <c r="F115">
        <v>2234</v>
      </c>
      <c r="G115">
        <v>250</v>
      </c>
      <c r="H115">
        <v>12</v>
      </c>
      <c r="I115">
        <v>26808</v>
      </c>
      <c r="J115">
        <v>2412.7199999999998</v>
      </c>
      <c r="K115">
        <v>24395.279999999999</v>
      </c>
      <c r="L115">
        <v>6702</v>
      </c>
      <c r="M115">
        <v>17693.28</v>
      </c>
      <c r="N115" s="4">
        <v>45170</v>
      </c>
      <c r="O115">
        <v>9</v>
      </c>
      <c r="P115" t="s">
        <v>24</v>
      </c>
      <c r="Q115">
        <v>2023</v>
      </c>
    </row>
    <row r="116" spans="1:17" x14ac:dyDescent="0.25">
      <c r="A116">
        <v>115</v>
      </c>
      <c r="B116" t="s">
        <v>39</v>
      </c>
      <c r="C116" t="s">
        <v>25</v>
      </c>
      <c r="D116" t="s">
        <v>31</v>
      </c>
      <c r="E116" t="s">
        <v>33</v>
      </c>
      <c r="F116">
        <v>970</v>
      </c>
      <c r="G116">
        <v>260</v>
      </c>
      <c r="H116">
        <v>15</v>
      </c>
      <c r="I116">
        <v>14550</v>
      </c>
      <c r="J116">
        <v>1309.5</v>
      </c>
      <c r="K116">
        <v>13240.5</v>
      </c>
      <c r="L116">
        <v>9700</v>
      </c>
      <c r="M116">
        <v>3540.5</v>
      </c>
      <c r="N116" s="4">
        <v>45231</v>
      </c>
      <c r="O116">
        <v>11</v>
      </c>
      <c r="P116" t="s">
        <v>21</v>
      </c>
      <c r="Q116">
        <v>2023</v>
      </c>
    </row>
    <row r="117" spans="1:17" x14ac:dyDescent="0.25">
      <c r="A117">
        <v>116</v>
      </c>
      <c r="B117" t="s">
        <v>37</v>
      </c>
      <c r="C117" t="s">
        <v>22</v>
      </c>
      <c r="D117" t="s">
        <v>31</v>
      </c>
      <c r="E117" t="s">
        <v>33</v>
      </c>
      <c r="F117">
        <v>306</v>
      </c>
      <c r="G117">
        <v>260</v>
      </c>
      <c r="H117">
        <v>12</v>
      </c>
      <c r="I117">
        <v>3672</v>
      </c>
      <c r="J117">
        <v>330.48</v>
      </c>
      <c r="K117">
        <v>3341.52</v>
      </c>
      <c r="L117">
        <v>918</v>
      </c>
      <c r="M117">
        <v>2423.52</v>
      </c>
      <c r="N117" s="4">
        <v>45261</v>
      </c>
      <c r="O117">
        <v>12</v>
      </c>
      <c r="P117" t="s">
        <v>29</v>
      </c>
      <c r="Q117">
        <v>2023</v>
      </c>
    </row>
    <row r="118" spans="1:17" x14ac:dyDescent="0.25">
      <c r="A118">
        <v>117</v>
      </c>
      <c r="B118" t="s">
        <v>37</v>
      </c>
      <c r="C118" t="s">
        <v>46</v>
      </c>
      <c r="D118" t="s">
        <v>35</v>
      </c>
      <c r="E118" t="s">
        <v>34</v>
      </c>
      <c r="F118">
        <v>386</v>
      </c>
      <c r="G118">
        <v>3</v>
      </c>
      <c r="H118">
        <v>12</v>
      </c>
      <c r="I118">
        <v>4632</v>
      </c>
      <c r="J118">
        <v>463.2</v>
      </c>
      <c r="K118">
        <v>4168.8</v>
      </c>
      <c r="L118">
        <v>1158</v>
      </c>
      <c r="M118">
        <v>3010.8</v>
      </c>
      <c r="N118" s="4">
        <v>45200</v>
      </c>
      <c r="O118">
        <v>10</v>
      </c>
      <c r="P118" t="s">
        <v>28</v>
      </c>
      <c r="Q118">
        <v>2023</v>
      </c>
    </row>
    <row r="119" spans="1:17" x14ac:dyDescent="0.25">
      <c r="A119">
        <v>118</v>
      </c>
      <c r="B119" t="s">
        <v>36</v>
      </c>
      <c r="C119" t="s">
        <v>22</v>
      </c>
      <c r="D119" t="s">
        <v>35</v>
      </c>
      <c r="E119" t="s">
        <v>34</v>
      </c>
      <c r="F119">
        <v>1482</v>
      </c>
      <c r="G119">
        <v>3</v>
      </c>
      <c r="H119">
        <v>125</v>
      </c>
      <c r="I119">
        <v>185250</v>
      </c>
      <c r="J119">
        <v>18525</v>
      </c>
      <c r="K119">
        <v>166725</v>
      </c>
      <c r="L119">
        <v>177840</v>
      </c>
      <c r="M119">
        <v>-11115</v>
      </c>
      <c r="N119" s="4">
        <v>45261</v>
      </c>
      <c r="O119">
        <v>12</v>
      </c>
      <c r="P119" t="s">
        <v>29</v>
      </c>
      <c r="Q119">
        <v>2023</v>
      </c>
    </row>
    <row r="120" spans="1:17" x14ac:dyDescent="0.25">
      <c r="A120">
        <v>119</v>
      </c>
      <c r="B120" t="s">
        <v>36</v>
      </c>
      <c r="C120" t="s">
        <v>46</v>
      </c>
      <c r="D120" t="s">
        <v>32</v>
      </c>
      <c r="E120" t="s">
        <v>34</v>
      </c>
      <c r="F120">
        <v>1804</v>
      </c>
      <c r="G120">
        <v>5</v>
      </c>
      <c r="H120">
        <v>125</v>
      </c>
      <c r="I120">
        <v>225500</v>
      </c>
      <c r="J120">
        <v>22550</v>
      </c>
      <c r="K120">
        <v>202950</v>
      </c>
      <c r="L120">
        <v>216480</v>
      </c>
      <c r="M120">
        <v>-13530</v>
      </c>
      <c r="N120" s="4">
        <v>45231</v>
      </c>
      <c r="O120">
        <v>11</v>
      </c>
      <c r="P120" t="s">
        <v>21</v>
      </c>
      <c r="Q120">
        <v>2023</v>
      </c>
    </row>
    <row r="121" spans="1:17" x14ac:dyDescent="0.25">
      <c r="A121">
        <v>120</v>
      </c>
      <c r="B121" t="s">
        <v>38</v>
      </c>
      <c r="C121" t="s">
        <v>46</v>
      </c>
      <c r="D121" t="s">
        <v>26</v>
      </c>
      <c r="E121" t="s">
        <v>34</v>
      </c>
      <c r="F121">
        <v>2294</v>
      </c>
      <c r="G121">
        <v>120</v>
      </c>
      <c r="H121">
        <v>300</v>
      </c>
      <c r="I121">
        <v>688200</v>
      </c>
      <c r="J121">
        <v>68820</v>
      </c>
      <c r="K121">
        <v>619380</v>
      </c>
      <c r="L121">
        <v>573500</v>
      </c>
      <c r="M121">
        <v>45880</v>
      </c>
      <c r="N121" s="4">
        <v>45200</v>
      </c>
      <c r="O121">
        <v>10</v>
      </c>
      <c r="P121" t="s">
        <v>28</v>
      </c>
      <c r="Q121">
        <v>2023</v>
      </c>
    </row>
    <row r="122" spans="1:17" x14ac:dyDescent="0.25">
      <c r="A122">
        <v>121</v>
      </c>
      <c r="B122" t="s">
        <v>36</v>
      </c>
      <c r="C122" t="s">
        <v>18</v>
      </c>
      <c r="D122" t="s">
        <v>26</v>
      </c>
      <c r="E122" t="s">
        <v>34</v>
      </c>
      <c r="F122">
        <v>1916</v>
      </c>
      <c r="G122">
        <v>120</v>
      </c>
      <c r="H122">
        <v>125</v>
      </c>
      <c r="I122">
        <v>239500</v>
      </c>
      <c r="J122">
        <v>23950</v>
      </c>
      <c r="K122">
        <v>215550</v>
      </c>
      <c r="L122">
        <v>229920</v>
      </c>
      <c r="M122">
        <v>-14370</v>
      </c>
      <c r="N122" s="4">
        <v>45261</v>
      </c>
      <c r="O122">
        <v>12</v>
      </c>
      <c r="P122" t="s">
        <v>29</v>
      </c>
      <c r="Q122">
        <v>2023</v>
      </c>
    </row>
    <row r="123" spans="1:17" x14ac:dyDescent="0.25">
      <c r="A123">
        <v>122</v>
      </c>
      <c r="B123" t="s">
        <v>38</v>
      </c>
      <c r="C123" t="s">
        <v>46</v>
      </c>
      <c r="D123" t="s">
        <v>23</v>
      </c>
      <c r="E123" t="s">
        <v>34</v>
      </c>
      <c r="F123">
        <v>2294</v>
      </c>
      <c r="G123">
        <v>250</v>
      </c>
      <c r="H123">
        <v>300</v>
      </c>
      <c r="I123">
        <v>688200</v>
      </c>
      <c r="J123">
        <v>68820</v>
      </c>
      <c r="K123">
        <v>619380</v>
      </c>
      <c r="L123">
        <v>573500</v>
      </c>
      <c r="M123">
        <v>45880</v>
      </c>
      <c r="N123" s="4">
        <v>45200</v>
      </c>
      <c r="O123">
        <v>10</v>
      </c>
      <c r="P123" t="s">
        <v>28</v>
      </c>
      <c r="Q123">
        <v>2023</v>
      </c>
    </row>
    <row r="124" spans="1:17" x14ac:dyDescent="0.25">
      <c r="A124">
        <v>123</v>
      </c>
      <c r="B124" t="s">
        <v>39</v>
      </c>
      <c r="C124" t="s">
        <v>22</v>
      </c>
      <c r="D124" t="s">
        <v>23</v>
      </c>
      <c r="E124" t="s">
        <v>34</v>
      </c>
      <c r="F124">
        <v>2167</v>
      </c>
      <c r="G124">
        <v>250</v>
      </c>
      <c r="H124">
        <v>15</v>
      </c>
      <c r="I124">
        <v>32505</v>
      </c>
      <c r="J124">
        <v>3250.5</v>
      </c>
      <c r="K124">
        <v>29254.5</v>
      </c>
      <c r="L124">
        <v>21670</v>
      </c>
      <c r="M124">
        <v>7584.5</v>
      </c>
      <c r="N124" s="4">
        <v>45200</v>
      </c>
      <c r="O124">
        <v>10</v>
      </c>
      <c r="P124" t="s">
        <v>28</v>
      </c>
      <c r="Q124">
        <v>2023</v>
      </c>
    </row>
    <row r="125" spans="1:17" x14ac:dyDescent="0.25">
      <c r="A125">
        <v>124</v>
      </c>
      <c r="B125" t="s">
        <v>37</v>
      </c>
      <c r="C125" t="s">
        <v>22</v>
      </c>
      <c r="D125" t="s">
        <v>35</v>
      </c>
      <c r="E125" t="s">
        <v>34</v>
      </c>
      <c r="F125">
        <v>1198</v>
      </c>
      <c r="G125">
        <v>3</v>
      </c>
      <c r="H125">
        <v>12</v>
      </c>
      <c r="I125">
        <v>14376</v>
      </c>
      <c r="J125">
        <v>1581.36</v>
      </c>
      <c r="K125">
        <v>12794.64</v>
      </c>
      <c r="L125">
        <v>3594</v>
      </c>
      <c r="M125">
        <v>9200.64</v>
      </c>
      <c r="N125" s="4">
        <v>45200</v>
      </c>
      <c r="O125">
        <v>10</v>
      </c>
      <c r="P125" t="s">
        <v>28</v>
      </c>
      <c r="Q125">
        <v>2023</v>
      </c>
    </row>
    <row r="126" spans="1:17" x14ac:dyDescent="0.25">
      <c r="A126">
        <v>125</v>
      </c>
      <c r="B126" t="s">
        <v>37</v>
      </c>
      <c r="C126" t="s">
        <v>30</v>
      </c>
      <c r="D126" t="s">
        <v>23</v>
      </c>
      <c r="E126" t="s">
        <v>34</v>
      </c>
      <c r="F126">
        <v>1005</v>
      </c>
      <c r="G126">
        <v>250</v>
      </c>
      <c r="H126">
        <v>12</v>
      </c>
      <c r="I126">
        <v>12060</v>
      </c>
      <c r="J126">
        <v>1326.6</v>
      </c>
      <c r="K126">
        <v>10733.4</v>
      </c>
      <c r="L126">
        <v>3015</v>
      </c>
      <c r="M126">
        <v>7718.4</v>
      </c>
      <c r="N126" s="4">
        <v>45170</v>
      </c>
      <c r="O126">
        <v>9</v>
      </c>
      <c r="P126" t="s">
        <v>24</v>
      </c>
      <c r="Q126">
        <v>2023</v>
      </c>
    </row>
    <row r="127" spans="1:17" x14ac:dyDescent="0.25">
      <c r="A127">
        <v>126</v>
      </c>
      <c r="B127" t="s">
        <v>39</v>
      </c>
      <c r="C127" t="s">
        <v>18</v>
      </c>
      <c r="D127" t="s">
        <v>35</v>
      </c>
      <c r="E127" t="s">
        <v>34</v>
      </c>
      <c r="F127">
        <v>1560</v>
      </c>
      <c r="G127">
        <v>3</v>
      </c>
      <c r="H127">
        <v>15</v>
      </c>
      <c r="I127">
        <v>23400</v>
      </c>
      <c r="J127">
        <v>2574</v>
      </c>
      <c r="K127">
        <v>20826</v>
      </c>
      <c r="L127">
        <v>15600</v>
      </c>
      <c r="M127">
        <v>5226</v>
      </c>
      <c r="N127" s="4">
        <v>45231</v>
      </c>
      <c r="O127">
        <v>11</v>
      </c>
      <c r="P127" t="s">
        <v>21</v>
      </c>
      <c r="Q127">
        <v>2023</v>
      </c>
    </row>
    <row r="128" spans="1:17" x14ac:dyDescent="0.25">
      <c r="A128">
        <v>127</v>
      </c>
      <c r="B128" t="s">
        <v>39</v>
      </c>
      <c r="C128" t="s">
        <v>30</v>
      </c>
      <c r="D128" t="s">
        <v>26</v>
      </c>
      <c r="E128" t="s">
        <v>34</v>
      </c>
      <c r="F128">
        <v>655</v>
      </c>
      <c r="G128">
        <v>120</v>
      </c>
      <c r="H128">
        <v>15</v>
      </c>
      <c r="I128">
        <v>9825</v>
      </c>
      <c r="J128">
        <v>1080.75</v>
      </c>
      <c r="K128">
        <v>8744.25</v>
      </c>
      <c r="L128">
        <v>6550</v>
      </c>
      <c r="M128">
        <v>2194.25</v>
      </c>
      <c r="N128" s="4">
        <v>45170</v>
      </c>
      <c r="O128">
        <v>9</v>
      </c>
      <c r="P128" t="s">
        <v>24</v>
      </c>
      <c r="Q128">
        <v>2023</v>
      </c>
    </row>
    <row r="129" spans="1:17" x14ac:dyDescent="0.25">
      <c r="A129">
        <v>128</v>
      </c>
      <c r="B129" t="s">
        <v>36</v>
      </c>
      <c r="C129" t="s">
        <v>30</v>
      </c>
      <c r="D129" t="s">
        <v>31</v>
      </c>
      <c r="E129" t="s">
        <v>34</v>
      </c>
      <c r="F129">
        <v>947</v>
      </c>
      <c r="G129">
        <v>260</v>
      </c>
      <c r="H129">
        <v>125</v>
      </c>
      <c r="I129">
        <v>118375</v>
      </c>
      <c r="J129">
        <v>13021.25</v>
      </c>
      <c r="K129">
        <v>105353.75</v>
      </c>
      <c r="L129">
        <v>113640</v>
      </c>
      <c r="M129">
        <v>-8286.25</v>
      </c>
      <c r="N129" s="4">
        <v>45170</v>
      </c>
      <c r="O129">
        <v>9</v>
      </c>
      <c r="P129" t="s">
        <v>24</v>
      </c>
      <c r="Q129">
        <v>2023</v>
      </c>
    </row>
    <row r="130" spans="1:17" x14ac:dyDescent="0.25">
      <c r="A130">
        <v>129</v>
      </c>
      <c r="B130" t="s">
        <v>36</v>
      </c>
      <c r="C130" t="s">
        <v>18</v>
      </c>
      <c r="D130" t="s">
        <v>35</v>
      </c>
      <c r="E130" t="s">
        <v>34</v>
      </c>
      <c r="F130">
        <v>2416</v>
      </c>
      <c r="G130">
        <v>3</v>
      </c>
      <c r="H130">
        <v>125</v>
      </c>
      <c r="I130">
        <v>302000</v>
      </c>
      <c r="J130">
        <v>36240</v>
      </c>
      <c r="K130">
        <v>265760</v>
      </c>
      <c r="L130">
        <v>289920</v>
      </c>
      <c r="M130">
        <v>-24160</v>
      </c>
      <c r="N130" s="4">
        <v>45170</v>
      </c>
      <c r="O130">
        <v>9</v>
      </c>
      <c r="P130" t="s">
        <v>24</v>
      </c>
      <c r="Q130">
        <v>2023</v>
      </c>
    </row>
    <row r="131" spans="1:17" x14ac:dyDescent="0.25">
      <c r="A131">
        <v>130</v>
      </c>
      <c r="B131" t="s">
        <v>38</v>
      </c>
      <c r="C131" t="s">
        <v>22</v>
      </c>
      <c r="D131" t="s">
        <v>32</v>
      </c>
      <c r="E131" t="s">
        <v>34</v>
      </c>
      <c r="F131">
        <v>1186</v>
      </c>
      <c r="G131">
        <v>5</v>
      </c>
      <c r="H131">
        <v>300</v>
      </c>
      <c r="I131">
        <v>355800</v>
      </c>
      <c r="J131">
        <v>42696</v>
      </c>
      <c r="K131">
        <v>313104</v>
      </c>
      <c r="L131">
        <v>296500</v>
      </c>
      <c r="M131">
        <v>16604</v>
      </c>
      <c r="N131" s="4">
        <v>45261</v>
      </c>
      <c r="O131">
        <v>12</v>
      </c>
      <c r="P131" t="s">
        <v>29</v>
      </c>
      <c r="Q131">
        <v>2023</v>
      </c>
    </row>
    <row r="132" spans="1:17" x14ac:dyDescent="0.25">
      <c r="A132">
        <v>131</v>
      </c>
      <c r="B132" t="s">
        <v>39</v>
      </c>
      <c r="C132" t="s">
        <v>46</v>
      </c>
      <c r="D132" t="s">
        <v>31</v>
      </c>
      <c r="E132" t="s">
        <v>34</v>
      </c>
      <c r="F132">
        <v>2548</v>
      </c>
      <c r="G132">
        <v>260</v>
      </c>
      <c r="H132">
        <v>15</v>
      </c>
      <c r="I132">
        <v>38220</v>
      </c>
      <c r="J132">
        <v>4586.3999999999996</v>
      </c>
      <c r="K132">
        <v>33633.599999999999</v>
      </c>
      <c r="L132">
        <v>25480</v>
      </c>
      <c r="M132">
        <v>8153.6</v>
      </c>
      <c r="N132" s="4">
        <v>45231</v>
      </c>
      <c r="O132">
        <v>11</v>
      </c>
      <c r="P132" t="s">
        <v>21</v>
      </c>
      <c r="Q132">
        <v>2023</v>
      </c>
    </row>
    <row r="133" spans="1:17" x14ac:dyDescent="0.25">
      <c r="A133">
        <v>132</v>
      </c>
      <c r="B133" t="s">
        <v>37</v>
      </c>
      <c r="C133" t="s">
        <v>18</v>
      </c>
      <c r="D133" t="s">
        <v>31</v>
      </c>
      <c r="E133" t="s">
        <v>34</v>
      </c>
      <c r="F133">
        <v>2761</v>
      </c>
      <c r="G133">
        <v>260</v>
      </c>
      <c r="H133">
        <v>12</v>
      </c>
      <c r="I133">
        <v>33132</v>
      </c>
      <c r="J133">
        <v>3975.84</v>
      </c>
      <c r="K133">
        <v>29156.16</v>
      </c>
      <c r="L133">
        <v>8283</v>
      </c>
      <c r="M133">
        <v>20873.16</v>
      </c>
      <c r="N133" s="4">
        <v>45170</v>
      </c>
      <c r="O133">
        <v>9</v>
      </c>
      <c r="P133" t="s">
        <v>24</v>
      </c>
      <c r="Q133">
        <v>2023</v>
      </c>
    </row>
    <row r="134" spans="1:17" x14ac:dyDescent="0.25">
      <c r="A134">
        <v>133</v>
      </c>
      <c r="B134" t="s">
        <v>39</v>
      </c>
      <c r="C134" t="s">
        <v>25</v>
      </c>
      <c r="D134" t="s">
        <v>26</v>
      </c>
      <c r="E134" t="s">
        <v>34</v>
      </c>
      <c r="F134">
        <v>660</v>
      </c>
      <c r="G134">
        <v>120</v>
      </c>
      <c r="H134">
        <v>15</v>
      </c>
      <c r="I134">
        <v>9900</v>
      </c>
      <c r="J134">
        <v>1287</v>
      </c>
      <c r="K134">
        <v>8613</v>
      </c>
      <c r="L134">
        <v>6600</v>
      </c>
      <c r="M134">
        <v>2013</v>
      </c>
      <c r="N134" s="4">
        <v>45170</v>
      </c>
      <c r="O134">
        <v>9</v>
      </c>
      <c r="P134" t="s">
        <v>24</v>
      </c>
      <c r="Q134">
        <v>2023</v>
      </c>
    </row>
    <row r="135" spans="1:17" x14ac:dyDescent="0.25">
      <c r="A135">
        <v>134</v>
      </c>
      <c r="B135" t="s">
        <v>38</v>
      </c>
      <c r="C135" t="s">
        <v>30</v>
      </c>
      <c r="D135" t="s">
        <v>26</v>
      </c>
      <c r="E135" t="s">
        <v>34</v>
      </c>
      <c r="F135">
        <v>2605</v>
      </c>
      <c r="G135">
        <v>120</v>
      </c>
      <c r="H135">
        <v>300</v>
      </c>
      <c r="I135">
        <v>781500</v>
      </c>
      <c r="J135">
        <v>101595</v>
      </c>
      <c r="K135">
        <v>679905</v>
      </c>
      <c r="L135">
        <v>651250</v>
      </c>
      <c r="M135">
        <v>28655</v>
      </c>
      <c r="N135" s="4">
        <v>45231</v>
      </c>
      <c r="O135">
        <v>11</v>
      </c>
      <c r="P135" t="s">
        <v>21</v>
      </c>
      <c r="Q135">
        <v>2023</v>
      </c>
    </row>
    <row r="136" spans="1:17" x14ac:dyDescent="0.25">
      <c r="A136">
        <v>135</v>
      </c>
      <c r="B136" t="s">
        <v>37</v>
      </c>
      <c r="C136" t="s">
        <v>25</v>
      </c>
      <c r="D136" t="s">
        <v>31</v>
      </c>
      <c r="E136" t="s">
        <v>34</v>
      </c>
      <c r="F136">
        <v>1770</v>
      </c>
      <c r="G136">
        <v>260</v>
      </c>
      <c r="H136">
        <v>12</v>
      </c>
      <c r="I136">
        <v>21240</v>
      </c>
      <c r="J136">
        <v>2761.2</v>
      </c>
      <c r="K136">
        <v>18478.8</v>
      </c>
      <c r="L136">
        <v>5310</v>
      </c>
      <c r="M136">
        <v>13168.8</v>
      </c>
      <c r="N136" s="4">
        <v>45261</v>
      </c>
      <c r="O136">
        <v>12</v>
      </c>
      <c r="P136" t="s">
        <v>29</v>
      </c>
      <c r="Q136">
        <v>2023</v>
      </c>
    </row>
    <row r="137" spans="1:17" x14ac:dyDescent="0.25">
      <c r="A137">
        <v>136</v>
      </c>
      <c r="B137" t="s">
        <v>37</v>
      </c>
      <c r="C137" t="s">
        <v>46</v>
      </c>
      <c r="D137" t="s">
        <v>31</v>
      </c>
      <c r="E137" t="s">
        <v>34</v>
      </c>
      <c r="F137">
        <v>2015</v>
      </c>
      <c r="G137">
        <v>260</v>
      </c>
      <c r="H137">
        <v>12</v>
      </c>
      <c r="I137">
        <v>24180</v>
      </c>
      <c r="J137">
        <v>3385.2</v>
      </c>
      <c r="K137">
        <v>20794.8</v>
      </c>
      <c r="L137">
        <v>6045</v>
      </c>
      <c r="M137">
        <v>14749.8</v>
      </c>
      <c r="N137" s="4">
        <v>45261</v>
      </c>
      <c r="O137">
        <v>12</v>
      </c>
      <c r="P137" t="s">
        <v>29</v>
      </c>
      <c r="Q137">
        <v>2023</v>
      </c>
    </row>
    <row r="138" spans="1:17" x14ac:dyDescent="0.25">
      <c r="A138">
        <v>137</v>
      </c>
      <c r="B138" t="s">
        <v>36</v>
      </c>
      <c r="C138" t="s">
        <v>22</v>
      </c>
      <c r="D138" t="s">
        <v>35</v>
      </c>
      <c r="E138" t="s">
        <v>34</v>
      </c>
      <c r="F138">
        <v>1023</v>
      </c>
      <c r="G138">
        <v>3</v>
      </c>
      <c r="H138">
        <v>125</v>
      </c>
      <c r="I138">
        <v>127875</v>
      </c>
      <c r="J138">
        <v>17902.5</v>
      </c>
      <c r="K138">
        <v>109972.5</v>
      </c>
      <c r="L138">
        <v>122760</v>
      </c>
      <c r="M138">
        <v>-12787.5</v>
      </c>
      <c r="N138" s="4">
        <v>45170</v>
      </c>
      <c r="O138">
        <v>9</v>
      </c>
      <c r="P138" t="s">
        <v>24</v>
      </c>
      <c r="Q138">
        <v>2023</v>
      </c>
    </row>
    <row r="139" spans="1:17" x14ac:dyDescent="0.25">
      <c r="A139">
        <v>138</v>
      </c>
      <c r="B139" t="s">
        <v>36</v>
      </c>
      <c r="C139" t="s">
        <v>30</v>
      </c>
      <c r="D139" t="s">
        <v>35</v>
      </c>
      <c r="E139" t="s">
        <v>34</v>
      </c>
      <c r="F139">
        <v>2821</v>
      </c>
      <c r="G139">
        <v>3</v>
      </c>
      <c r="H139">
        <v>125</v>
      </c>
      <c r="I139">
        <v>352625</v>
      </c>
      <c r="J139">
        <v>49367.5</v>
      </c>
      <c r="K139">
        <v>303257.5</v>
      </c>
      <c r="L139">
        <v>338520</v>
      </c>
      <c r="M139">
        <v>-35262.5</v>
      </c>
      <c r="N139" s="4">
        <v>45261</v>
      </c>
      <c r="O139">
        <v>12</v>
      </c>
      <c r="P139" t="s">
        <v>29</v>
      </c>
      <c r="Q139">
        <v>2023</v>
      </c>
    </row>
    <row r="140" spans="1:17" x14ac:dyDescent="0.25">
      <c r="A140">
        <v>139</v>
      </c>
      <c r="B140" t="s">
        <v>38</v>
      </c>
      <c r="C140" t="s">
        <v>18</v>
      </c>
      <c r="D140" t="s">
        <v>26</v>
      </c>
      <c r="E140" t="s">
        <v>34</v>
      </c>
      <c r="F140">
        <v>269</v>
      </c>
      <c r="G140">
        <v>120</v>
      </c>
      <c r="H140">
        <v>300</v>
      </c>
      <c r="I140">
        <v>80700</v>
      </c>
      <c r="J140">
        <v>11298</v>
      </c>
      <c r="K140">
        <v>69402</v>
      </c>
      <c r="L140">
        <v>67250</v>
      </c>
      <c r="M140">
        <v>2152</v>
      </c>
      <c r="N140" s="4">
        <v>45200</v>
      </c>
      <c r="O140">
        <v>10</v>
      </c>
      <c r="P140" t="s">
        <v>28</v>
      </c>
      <c r="Q140">
        <v>2023</v>
      </c>
    </row>
    <row r="141" spans="1:17" x14ac:dyDescent="0.25">
      <c r="A141">
        <v>140</v>
      </c>
      <c r="B141" t="s">
        <v>38</v>
      </c>
      <c r="C141" t="s">
        <v>25</v>
      </c>
      <c r="D141" t="s">
        <v>26</v>
      </c>
      <c r="E141" t="s">
        <v>34</v>
      </c>
      <c r="F141">
        <v>2536</v>
      </c>
      <c r="G141">
        <v>120</v>
      </c>
      <c r="H141">
        <v>300</v>
      </c>
      <c r="I141">
        <v>760800</v>
      </c>
      <c r="J141">
        <v>106512</v>
      </c>
      <c r="K141">
        <v>654288</v>
      </c>
      <c r="L141">
        <v>634000</v>
      </c>
      <c r="M141">
        <v>20288</v>
      </c>
      <c r="N141" s="4">
        <v>45231</v>
      </c>
      <c r="O141">
        <v>11</v>
      </c>
      <c r="P141" t="s">
        <v>21</v>
      </c>
      <c r="Q141">
        <v>2023</v>
      </c>
    </row>
    <row r="142" spans="1:17" x14ac:dyDescent="0.25">
      <c r="A142">
        <v>141</v>
      </c>
      <c r="B142" t="s">
        <v>38</v>
      </c>
      <c r="C142" t="s">
        <v>18</v>
      </c>
      <c r="D142" t="s">
        <v>23</v>
      </c>
      <c r="E142" t="s">
        <v>34</v>
      </c>
      <c r="F142">
        <v>269</v>
      </c>
      <c r="G142">
        <v>250</v>
      </c>
      <c r="H142">
        <v>300</v>
      </c>
      <c r="I142">
        <v>80700</v>
      </c>
      <c r="J142">
        <v>11298</v>
      </c>
      <c r="K142">
        <v>69402</v>
      </c>
      <c r="L142">
        <v>67250</v>
      </c>
      <c r="M142">
        <v>2152</v>
      </c>
      <c r="N142" s="4">
        <v>45200</v>
      </c>
      <c r="O142">
        <v>10</v>
      </c>
      <c r="P142" t="s">
        <v>28</v>
      </c>
      <c r="Q142">
        <v>2023</v>
      </c>
    </row>
    <row r="143" spans="1:17" x14ac:dyDescent="0.25">
      <c r="A143">
        <v>142</v>
      </c>
      <c r="B143" t="s">
        <v>39</v>
      </c>
      <c r="C143" t="s">
        <v>18</v>
      </c>
      <c r="D143" t="s">
        <v>31</v>
      </c>
      <c r="E143" t="s">
        <v>34</v>
      </c>
      <c r="F143">
        <v>1743</v>
      </c>
      <c r="G143">
        <v>260</v>
      </c>
      <c r="H143">
        <v>15</v>
      </c>
      <c r="I143">
        <v>26145</v>
      </c>
      <c r="J143">
        <v>3660.3</v>
      </c>
      <c r="K143">
        <v>22484.7</v>
      </c>
      <c r="L143">
        <v>17430</v>
      </c>
      <c r="M143">
        <v>5054.7</v>
      </c>
      <c r="N143" s="4">
        <v>45200</v>
      </c>
      <c r="O143">
        <v>10</v>
      </c>
      <c r="P143" t="s">
        <v>28</v>
      </c>
      <c r="Q143">
        <v>2023</v>
      </c>
    </row>
    <row r="144" spans="1:17" x14ac:dyDescent="0.25">
      <c r="A144">
        <v>143</v>
      </c>
      <c r="B144" t="s">
        <v>39</v>
      </c>
      <c r="C144" t="s">
        <v>30</v>
      </c>
      <c r="D144" t="s">
        <v>31</v>
      </c>
      <c r="E144" t="s">
        <v>34</v>
      </c>
      <c r="F144">
        <v>1870</v>
      </c>
      <c r="G144">
        <v>260</v>
      </c>
      <c r="H144">
        <v>15</v>
      </c>
      <c r="I144">
        <v>28050</v>
      </c>
      <c r="J144">
        <v>3927</v>
      </c>
      <c r="K144">
        <v>24123</v>
      </c>
      <c r="L144">
        <v>18700</v>
      </c>
      <c r="M144">
        <v>5423</v>
      </c>
      <c r="N144" s="4">
        <v>45231</v>
      </c>
      <c r="O144">
        <v>11</v>
      </c>
      <c r="P144" t="s">
        <v>21</v>
      </c>
      <c r="Q144">
        <v>2023</v>
      </c>
    </row>
    <row r="145" spans="1:17" x14ac:dyDescent="0.25">
      <c r="A145">
        <v>144</v>
      </c>
      <c r="B145" t="s">
        <v>38</v>
      </c>
      <c r="C145" t="s">
        <v>46</v>
      </c>
      <c r="D145" t="s">
        <v>26</v>
      </c>
      <c r="E145" t="s">
        <v>34</v>
      </c>
      <c r="F145">
        <v>2574</v>
      </c>
      <c r="G145">
        <v>120</v>
      </c>
      <c r="H145">
        <v>300</v>
      </c>
      <c r="I145">
        <v>772200</v>
      </c>
      <c r="J145">
        <v>115830</v>
      </c>
      <c r="K145">
        <v>656370</v>
      </c>
      <c r="L145">
        <v>643500</v>
      </c>
      <c r="M145">
        <v>12870</v>
      </c>
      <c r="N145" s="4">
        <v>45231</v>
      </c>
      <c r="O145">
        <v>11</v>
      </c>
      <c r="P145" t="s">
        <v>21</v>
      </c>
      <c r="Q145">
        <v>2023</v>
      </c>
    </row>
    <row r="146" spans="1:17" x14ac:dyDescent="0.25">
      <c r="A146">
        <v>145</v>
      </c>
      <c r="B146" t="s">
        <v>36</v>
      </c>
      <c r="C146" t="s">
        <v>46</v>
      </c>
      <c r="D146" t="s">
        <v>26</v>
      </c>
      <c r="E146" t="s">
        <v>34</v>
      </c>
      <c r="F146">
        <v>2438</v>
      </c>
      <c r="G146">
        <v>120</v>
      </c>
      <c r="H146">
        <v>125</v>
      </c>
      <c r="I146">
        <v>304750</v>
      </c>
      <c r="J146">
        <v>45712.5</v>
      </c>
      <c r="K146">
        <v>259037.5</v>
      </c>
      <c r="L146">
        <v>292560</v>
      </c>
      <c r="M146">
        <v>-33522.5</v>
      </c>
      <c r="N146" s="4">
        <v>45261</v>
      </c>
      <c r="O146">
        <v>12</v>
      </c>
      <c r="P146" t="s">
        <v>29</v>
      </c>
      <c r="Q146">
        <v>2023</v>
      </c>
    </row>
    <row r="147" spans="1:17" x14ac:dyDescent="0.25">
      <c r="A147">
        <v>146</v>
      </c>
      <c r="B147" t="s">
        <v>36</v>
      </c>
      <c r="C147" t="s">
        <v>18</v>
      </c>
      <c r="D147" t="s">
        <v>23</v>
      </c>
      <c r="E147" t="s">
        <v>34</v>
      </c>
      <c r="F147">
        <v>2954</v>
      </c>
      <c r="G147">
        <v>250</v>
      </c>
      <c r="H147">
        <v>125</v>
      </c>
      <c r="I147">
        <v>369250</v>
      </c>
      <c r="J147">
        <v>55387.5</v>
      </c>
      <c r="K147">
        <v>313862.5</v>
      </c>
      <c r="L147">
        <v>354480</v>
      </c>
      <c r="M147">
        <v>-40617.5</v>
      </c>
      <c r="N147" s="4">
        <v>45231</v>
      </c>
      <c r="O147">
        <v>11</v>
      </c>
      <c r="P147" t="s">
        <v>21</v>
      </c>
      <c r="Q147">
        <v>2023</v>
      </c>
    </row>
    <row r="148" spans="1:17" x14ac:dyDescent="0.25">
      <c r="A148">
        <v>147</v>
      </c>
      <c r="B148" t="s">
        <v>39</v>
      </c>
      <c r="C148" t="s">
        <v>22</v>
      </c>
      <c r="D148" t="s">
        <v>19</v>
      </c>
      <c r="E148" t="s">
        <v>20</v>
      </c>
      <c r="F148">
        <v>549</v>
      </c>
      <c r="G148">
        <v>10</v>
      </c>
      <c r="H148">
        <v>15</v>
      </c>
      <c r="I148">
        <v>8235</v>
      </c>
      <c r="J148">
        <v>0</v>
      </c>
      <c r="K148">
        <v>8235</v>
      </c>
      <c r="L148">
        <v>5490</v>
      </c>
      <c r="M148">
        <v>2745</v>
      </c>
      <c r="N148" s="4">
        <v>45170</v>
      </c>
      <c r="O148">
        <v>9</v>
      </c>
      <c r="P148" t="s">
        <v>24</v>
      </c>
      <c r="Q148">
        <v>2023</v>
      </c>
    </row>
    <row r="149" spans="1:17" x14ac:dyDescent="0.25">
      <c r="A149">
        <v>148</v>
      </c>
      <c r="B149" t="s">
        <v>38</v>
      </c>
      <c r="C149" t="s">
        <v>30</v>
      </c>
      <c r="D149" t="s">
        <v>19</v>
      </c>
      <c r="E149" t="s">
        <v>20</v>
      </c>
      <c r="F149">
        <v>788</v>
      </c>
      <c r="G149">
        <v>10</v>
      </c>
      <c r="H149">
        <v>300</v>
      </c>
      <c r="I149">
        <v>236400</v>
      </c>
      <c r="J149">
        <v>0</v>
      </c>
      <c r="K149">
        <v>236400</v>
      </c>
      <c r="L149">
        <v>197000</v>
      </c>
      <c r="M149">
        <v>39400</v>
      </c>
      <c r="N149" s="4">
        <v>45170</v>
      </c>
      <c r="O149">
        <v>9</v>
      </c>
      <c r="P149" t="s">
        <v>24</v>
      </c>
      <c r="Q149">
        <v>2023</v>
      </c>
    </row>
    <row r="150" spans="1:17" x14ac:dyDescent="0.25">
      <c r="A150">
        <v>149</v>
      </c>
      <c r="B150" t="s">
        <v>37</v>
      </c>
      <c r="C150" t="s">
        <v>46</v>
      </c>
      <c r="D150" t="s">
        <v>19</v>
      </c>
      <c r="E150" t="s">
        <v>20</v>
      </c>
      <c r="F150">
        <v>912</v>
      </c>
      <c r="G150">
        <v>10</v>
      </c>
      <c r="H150">
        <v>12</v>
      </c>
      <c r="I150">
        <v>10944</v>
      </c>
      <c r="J150">
        <v>0</v>
      </c>
      <c r="K150">
        <v>10944</v>
      </c>
      <c r="L150">
        <v>2736</v>
      </c>
      <c r="M150">
        <v>8208</v>
      </c>
      <c r="N150" s="4">
        <v>45231</v>
      </c>
      <c r="O150">
        <v>11</v>
      </c>
      <c r="P150" t="s">
        <v>21</v>
      </c>
      <c r="Q150">
        <v>2023</v>
      </c>
    </row>
    <row r="151" spans="1:17" x14ac:dyDescent="0.25">
      <c r="A151">
        <v>150</v>
      </c>
      <c r="B151" t="s">
        <v>39</v>
      </c>
      <c r="C151" t="s">
        <v>18</v>
      </c>
      <c r="D151" t="s">
        <v>19</v>
      </c>
      <c r="E151" t="s">
        <v>20</v>
      </c>
      <c r="F151">
        <v>2152</v>
      </c>
      <c r="G151">
        <v>10</v>
      </c>
      <c r="H151">
        <v>15</v>
      </c>
      <c r="I151">
        <v>32280</v>
      </c>
      <c r="J151">
        <v>0</v>
      </c>
      <c r="K151">
        <v>32280</v>
      </c>
      <c r="L151">
        <v>21520</v>
      </c>
      <c r="M151">
        <v>10760</v>
      </c>
      <c r="N151" s="4">
        <v>45261</v>
      </c>
      <c r="O151">
        <v>12</v>
      </c>
      <c r="P151" t="s">
        <v>29</v>
      </c>
      <c r="Q151">
        <v>2023</v>
      </c>
    </row>
    <row r="152" spans="1:17" x14ac:dyDescent="0.25">
      <c r="A152">
        <v>151</v>
      </c>
      <c r="B152" t="s">
        <v>37</v>
      </c>
      <c r="C152" t="s">
        <v>25</v>
      </c>
      <c r="D152" t="s">
        <v>19</v>
      </c>
      <c r="E152" t="s">
        <v>27</v>
      </c>
      <c r="F152">
        <v>766</v>
      </c>
      <c r="G152">
        <v>10</v>
      </c>
      <c r="H152">
        <v>12</v>
      </c>
      <c r="I152">
        <v>9192</v>
      </c>
      <c r="J152">
        <v>91.92</v>
      </c>
      <c r="K152">
        <v>9100.08</v>
      </c>
      <c r="L152">
        <v>2298</v>
      </c>
      <c r="M152">
        <v>6802.08</v>
      </c>
      <c r="N152" s="4">
        <v>45200</v>
      </c>
      <c r="O152">
        <v>10</v>
      </c>
      <c r="P152" t="s">
        <v>28</v>
      </c>
      <c r="Q152">
        <v>2023</v>
      </c>
    </row>
    <row r="153" spans="1:17" x14ac:dyDescent="0.25">
      <c r="A153">
        <v>152</v>
      </c>
      <c r="B153" t="s">
        <v>36</v>
      </c>
      <c r="C153" t="s">
        <v>25</v>
      </c>
      <c r="D153" t="s">
        <v>19</v>
      </c>
      <c r="E153" t="s">
        <v>27</v>
      </c>
      <c r="F153">
        <v>809</v>
      </c>
      <c r="G153">
        <v>10</v>
      </c>
      <c r="H153">
        <v>125</v>
      </c>
      <c r="I153">
        <v>101125</v>
      </c>
      <c r="J153">
        <v>2022.5</v>
      </c>
      <c r="K153">
        <v>99102.5</v>
      </c>
      <c r="L153">
        <v>97080</v>
      </c>
      <c r="M153">
        <v>2022.5</v>
      </c>
      <c r="N153" s="4">
        <v>45200</v>
      </c>
      <c r="O153">
        <v>10</v>
      </c>
      <c r="P153" t="s">
        <v>28</v>
      </c>
      <c r="Q153">
        <v>2023</v>
      </c>
    </row>
    <row r="154" spans="1:17" x14ac:dyDescent="0.25">
      <c r="A154">
        <v>153</v>
      </c>
      <c r="B154" t="s">
        <v>36</v>
      </c>
      <c r="C154" t="s">
        <v>30</v>
      </c>
      <c r="D154" t="s">
        <v>19</v>
      </c>
      <c r="E154" t="s">
        <v>27</v>
      </c>
      <c r="F154">
        <v>2145</v>
      </c>
      <c r="G154">
        <v>10</v>
      </c>
      <c r="H154">
        <v>125</v>
      </c>
      <c r="I154">
        <v>268125</v>
      </c>
      <c r="J154">
        <v>5362.5</v>
      </c>
      <c r="K154">
        <v>262762.5</v>
      </c>
      <c r="L154">
        <v>257400</v>
      </c>
      <c r="M154">
        <v>5362.5</v>
      </c>
      <c r="N154" s="4">
        <v>45200</v>
      </c>
      <c r="O154">
        <v>10</v>
      </c>
      <c r="P154" t="s">
        <v>28</v>
      </c>
      <c r="Q154">
        <v>2023</v>
      </c>
    </row>
    <row r="155" spans="1:17" x14ac:dyDescent="0.25">
      <c r="A155">
        <v>154</v>
      </c>
      <c r="B155" t="s">
        <v>37</v>
      </c>
      <c r="C155" t="s">
        <v>22</v>
      </c>
      <c r="D155" t="s">
        <v>19</v>
      </c>
      <c r="E155" t="s">
        <v>27</v>
      </c>
      <c r="F155">
        <v>1785</v>
      </c>
      <c r="G155">
        <v>10</v>
      </c>
      <c r="H155">
        <v>12</v>
      </c>
      <c r="I155">
        <v>21420</v>
      </c>
      <c r="J155">
        <v>428.4</v>
      </c>
      <c r="K155">
        <v>20991.599999999999</v>
      </c>
      <c r="L155">
        <v>5355</v>
      </c>
      <c r="M155">
        <v>15636.6</v>
      </c>
      <c r="N155" s="4">
        <v>45231</v>
      </c>
      <c r="O155">
        <v>11</v>
      </c>
      <c r="P155" t="s">
        <v>21</v>
      </c>
      <c r="Q155">
        <v>2023</v>
      </c>
    </row>
    <row r="156" spans="1:17" x14ac:dyDescent="0.25">
      <c r="A156">
        <v>155</v>
      </c>
      <c r="B156" t="s">
        <v>39</v>
      </c>
      <c r="C156" t="s">
        <v>46</v>
      </c>
      <c r="D156" t="s">
        <v>19</v>
      </c>
      <c r="E156" t="s">
        <v>27</v>
      </c>
      <c r="F156">
        <v>1925</v>
      </c>
      <c r="G156">
        <v>10</v>
      </c>
      <c r="H156">
        <v>15</v>
      </c>
      <c r="I156">
        <v>28875</v>
      </c>
      <c r="J156">
        <v>577.5</v>
      </c>
      <c r="K156">
        <v>28297.5</v>
      </c>
      <c r="L156">
        <v>19250</v>
      </c>
      <c r="M156">
        <v>9047.5</v>
      </c>
      <c r="N156" s="4">
        <v>45261</v>
      </c>
      <c r="O156">
        <v>12</v>
      </c>
      <c r="P156" t="s">
        <v>29</v>
      </c>
      <c r="Q156">
        <v>2023</v>
      </c>
    </row>
    <row r="157" spans="1:17" x14ac:dyDescent="0.25">
      <c r="A157">
        <v>156</v>
      </c>
      <c r="B157" t="s">
        <v>39</v>
      </c>
      <c r="C157" t="s">
        <v>25</v>
      </c>
      <c r="D157" t="s">
        <v>19</v>
      </c>
      <c r="E157" t="s">
        <v>27</v>
      </c>
      <c r="F157">
        <v>1945</v>
      </c>
      <c r="G157">
        <v>10</v>
      </c>
      <c r="H157">
        <v>15</v>
      </c>
      <c r="I157">
        <v>29175</v>
      </c>
      <c r="J157">
        <v>875.25</v>
      </c>
      <c r="K157">
        <v>28299.75</v>
      </c>
      <c r="L157">
        <v>19450</v>
      </c>
      <c r="M157">
        <v>8849.75</v>
      </c>
      <c r="N157" s="4">
        <v>45200</v>
      </c>
      <c r="O157">
        <v>10</v>
      </c>
      <c r="P157" t="s">
        <v>28</v>
      </c>
      <c r="Q157">
        <v>2023</v>
      </c>
    </row>
    <row r="158" spans="1:17" x14ac:dyDescent="0.25">
      <c r="A158">
        <v>157</v>
      </c>
      <c r="B158" t="s">
        <v>39</v>
      </c>
      <c r="C158" t="s">
        <v>22</v>
      </c>
      <c r="D158" t="s">
        <v>19</v>
      </c>
      <c r="E158" t="s">
        <v>27</v>
      </c>
      <c r="F158">
        <v>2261</v>
      </c>
      <c r="G158">
        <v>10</v>
      </c>
      <c r="H158">
        <v>15</v>
      </c>
      <c r="I158">
        <v>33915</v>
      </c>
      <c r="J158">
        <v>1356.6</v>
      </c>
      <c r="K158">
        <v>32558.400000000001</v>
      </c>
      <c r="L158">
        <v>22610</v>
      </c>
      <c r="M158">
        <v>9948.4</v>
      </c>
      <c r="N158" s="4">
        <v>45261</v>
      </c>
      <c r="O158">
        <v>12</v>
      </c>
      <c r="P158" t="s">
        <v>29</v>
      </c>
      <c r="Q158">
        <v>2023</v>
      </c>
    </row>
    <row r="159" spans="1:17" x14ac:dyDescent="0.25">
      <c r="A159">
        <v>158</v>
      </c>
      <c r="B159" t="s">
        <v>39</v>
      </c>
      <c r="C159" t="s">
        <v>46</v>
      </c>
      <c r="D159" t="s">
        <v>19</v>
      </c>
      <c r="E159" t="s">
        <v>27</v>
      </c>
      <c r="F159">
        <v>671</v>
      </c>
      <c r="G159">
        <v>10</v>
      </c>
      <c r="H159">
        <v>15</v>
      </c>
      <c r="I159">
        <v>10065</v>
      </c>
      <c r="J159">
        <v>402.6</v>
      </c>
      <c r="K159">
        <v>9662.4</v>
      </c>
      <c r="L159">
        <v>6710</v>
      </c>
      <c r="M159">
        <v>2952.4</v>
      </c>
      <c r="N159" s="4">
        <v>45200</v>
      </c>
      <c r="O159">
        <v>10</v>
      </c>
      <c r="P159" t="s">
        <v>28</v>
      </c>
      <c r="Q159">
        <v>2023</v>
      </c>
    </row>
    <row r="160" spans="1:17" x14ac:dyDescent="0.25">
      <c r="A160">
        <v>159</v>
      </c>
      <c r="B160" t="s">
        <v>39</v>
      </c>
      <c r="C160" t="s">
        <v>30</v>
      </c>
      <c r="D160" t="s">
        <v>19</v>
      </c>
      <c r="E160" t="s">
        <v>27</v>
      </c>
      <c r="F160">
        <v>1514</v>
      </c>
      <c r="G160">
        <v>10</v>
      </c>
      <c r="H160">
        <v>15</v>
      </c>
      <c r="I160">
        <v>22710</v>
      </c>
      <c r="J160">
        <v>908.4</v>
      </c>
      <c r="K160">
        <v>21801.599999999999</v>
      </c>
      <c r="L160">
        <v>15140</v>
      </c>
      <c r="M160">
        <v>6661.6</v>
      </c>
      <c r="N160" s="4">
        <v>45200</v>
      </c>
      <c r="O160">
        <v>10</v>
      </c>
      <c r="P160" t="s">
        <v>28</v>
      </c>
      <c r="Q160">
        <v>2023</v>
      </c>
    </row>
    <row r="161" spans="1:17" x14ac:dyDescent="0.25">
      <c r="A161">
        <v>160</v>
      </c>
      <c r="B161" t="s">
        <v>36</v>
      </c>
      <c r="C161" t="s">
        <v>22</v>
      </c>
      <c r="D161" t="s">
        <v>19</v>
      </c>
      <c r="E161" t="s">
        <v>33</v>
      </c>
      <c r="F161">
        <v>704</v>
      </c>
      <c r="G161">
        <v>10</v>
      </c>
      <c r="H161">
        <v>125</v>
      </c>
      <c r="I161">
        <v>88000</v>
      </c>
      <c r="J161">
        <v>4400</v>
      </c>
      <c r="K161">
        <v>83600</v>
      </c>
      <c r="L161">
        <v>84480</v>
      </c>
      <c r="M161">
        <v>-880</v>
      </c>
      <c r="N161" s="4">
        <v>45200</v>
      </c>
      <c r="O161">
        <v>10</v>
      </c>
      <c r="P161" t="s">
        <v>28</v>
      </c>
      <c r="Q161">
        <v>2023</v>
      </c>
    </row>
    <row r="162" spans="1:17" x14ac:dyDescent="0.25">
      <c r="A162">
        <v>161</v>
      </c>
      <c r="B162" t="s">
        <v>39</v>
      </c>
      <c r="C162" t="s">
        <v>25</v>
      </c>
      <c r="D162" t="s">
        <v>19</v>
      </c>
      <c r="E162" t="s">
        <v>33</v>
      </c>
      <c r="F162">
        <v>2116</v>
      </c>
      <c r="G162">
        <v>10</v>
      </c>
      <c r="H162">
        <v>15</v>
      </c>
      <c r="I162">
        <v>31740</v>
      </c>
      <c r="J162">
        <v>1587</v>
      </c>
      <c r="K162">
        <v>30153</v>
      </c>
      <c r="L162">
        <v>21160</v>
      </c>
      <c r="M162">
        <v>8993</v>
      </c>
      <c r="N162" s="4">
        <v>45261</v>
      </c>
      <c r="O162">
        <v>12</v>
      </c>
      <c r="P162" t="s">
        <v>29</v>
      </c>
      <c r="Q162">
        <v>2023</v>
      </c>
    </row>
    <row r="163" spans="1:17" x14ac:dyDescent="0.25">
      <c r="A163">
        <v>162</v>
      </c>
      <c r="B163" t="s">
        <v>37</v>
      </c>
      <c r="C163" t="s">
        <v>18</v>
      </c>
      <c r="D163" t="s">
        <v>19</v>
      </c>
      <c r="E163" t="s">
        <v>33</v>
      </c>
      <c r="F163">
        <v>2299</v>
      </c>
      <c r="G163">
        <v>10</v>
      </c>
      <c r="H163">
        <v>12</v>
      </c>
      <c r="I163">
        <v>27588</v>
      </c>
      <c r="J163">
        <v>1655.28</v>
      </c>
      <c r="K163">
        <v>25932.720000000001</v>
      </c>
      <c r="L163">
        <v>6897</v>
      </c>
      <c r="M163">
        <v>19035.72</v>
      </c>
      <c r="N163" s="4">
        <v>45200</v>
      </c>
      <c r="O163">
        <v>10</v>
      </c>
      <c r="P163" t="s">
        <v>28</v>
      </c>
      <c r="Q163">
        <v>2023</v>
      </c>
    </row>
    <row r="164" spans="1:17" x14ac:dyDescent="0.25">
      <c r="A164">
        <v>163</v>
      </c>
      <c r="B164" t="s">
        <v>39</v>
      </c>
      <c r="C164" t="s">
        <v>46</v>
      </c>
      <c r="D164" t="s">
        <v>19</v>
      </c>
      <c r="E164" t="s">
        <v>33</v>
      </c>
      <c r="F164">
        <v>2931</v>
      </c>
      <c r="G164">
        <v>10</v>
      </c>
      <c r="H164">
        <v>15</v>
      </c>
      <c r="I164">
        <v>43965</v>
      </c>
      <c r="J164">
        <v>3077.55</v>
      </c>
      <c r="K164">
        <v>40887.449999999997</v>
      </c>
      <c r="L164">
        <v>29310</v>
      </c>
      <c r="M164">
        <v>11577.45</v>
      </c>
      <c r="N164" s="4">
        <v>45170</v>
      </c>
      <c r="O164">
        <v>9</v>
      </c>
      <c r="P164" t="s">
        <v>24</v>
      </c>
      <c r="Q164">
        <v>2023</v>
      </c>
    </row>
    <row r="165" spans="1:17" x14ac:dyDescent="0.25">
      <c r="A165">
        <v>164</v>
      </c>
      <c r="B165" t="s">
        <v>38</v>
      </c>
      <c r="C165" t="s">
        <v>25</v>
      </c>
      <c r="D165" t="s">
        <v>19</v>
      </c>
      <c r="E165" t="s">
        <v>33</v>
      </c>
      <c r="F165">
        <v>1123</v>
      </c>
      <c r="G165">
        <v>10</v>
      </c>
      <c r="H165">
        <v>300</v>
      </c>
      <c r="I165">
        <v>336900</v>
      </c>
      <c r="J165">
        <v>23583</v>
      </c>
      <c r="K165">
        <v>313317</v>
      </c>
      <c r="L165">
        <v>280750</v>
      </c>
      <c r="M165">
        <v>32567</v>
      </c>
      <c r="N165" s="4">
        <v>45170</v>
      </c>
      <c r="O165">
        <v>9</v>
      </c>
      <c r="P165" t="s">
        <v>24</v>
      </c>
      <c r="Q165">
        <v>2023</v>
      </c>
    </row>
    <row r="166" spans="1:17" x14ac:dyDescent="0.25">
      <c r="A166">
        <v>165</v>
      </c>
      <c r="B166" t="s">
        <v>38</v>
      </c>
      <c r="C166" t="s">
        <v>18</v>
      </c>
      <c r="D166" t="s">
        <v>19</v>
      </c>
      <c r="E166" t="s">
        <v>33</v>
      </c>
      <c r="F166">
        <v>1404</v>
      </c>
      <c r="G166">
        <v>10</v>
      </c>
      <c r="H166">
        <v>300</v>
      </c>
      <c r="I166">
        <v>421200</v>
      </c>
      <c r="J166">
        <v>29484</v>
      </c>
      <c r="K166">
        <v>391716</v>
      </c>
      <c r="L166">
        <v>351000</v>
      </c>
      <c r="M166">
        <v>40716</v>
      </c>
      <c r="N166" s="4">
        <v>45231</v>
      </c>
      <c r="O166">
        <v>11</v>
      </c>
      <c r="P166" t="s">
        <v>21</v>
      </c>
      <c r="Q166">
        <v>2023</v>
      </c>
    </row>
    <row r="167" spans="1:17" x14ac:dyDescent="0.25">
      <c r="A167">
        <v>166</v>
      </c>
      <c r="B167" t="s">
        <v>37</v>
      </c>
      <c r="C167" t="s">
        <v>30</v>
      </c>
      <c r="D167" t="s">
        <v>19</v>
      </c>
      <c r="E167" t="s">
        <v>33</v>
      </c>
      <c r="F167">
        <v>2763</v>
      </c>
      <c r="G167">
        <v>10</v>
      </c>
      <c r="H167">
        <v>12</v>
      </c>
      <c r="I167">
        <v>33156</v>
      </c>
      <c r="J167">
        <v>2320.92</v>
      </c>
      <c r="K167">
        <v>30835.08</v>
      </c>
      <c r="L167">
        <v>8289</v>
      </c>
      <c r="M167">
        <v>22546.080000000002</v>
      </c>
      <c r="N167" s="4">
        <v>45231</v>
      </c>
      <c r="O167">
        <v>11</v>
      </c>
      <c r="P167" t="s">
        <v>21</v>
      </c>
      <c r="Q167">
        <v>2023</v>
      </c>
    </row>
    <row r="168" spans="1:17" x14ac:dyDescent="0.25">
      <c r="A168">
        <v>167</v>
      </c>
      <c r="B168" t="s">
        <v>37</v>
      </c>
      <c r="C168" t="s">
        <v>30</v>
      </c>
      <c r="D168" t="s">
        <v>19</v>
      </c>
      <c r="E168" t="s">
        <v>33</v>
      </c>
      <c r="F168">
        <v>367</v>
      </c>
      <c r="G168">
        <v>10</v>
      </c>
      <c r="H168">
        <v>12</v>
      </c>
      <c r="I168">
        <v>4404</v>
      </c>
      <c r="J168">
        <v>396.36</v>
      </c>
      <c r="K168">
        <v>4007.64</v>
      </c>
      <c r="L168">
        <v>1101</v>
      </c>
      <c r="M168">
        <v>2906.64</v>
      </c>
      <c r="N168" s="4">
        <v>45200</v>
      </c>
      <c r="O168">
        <v>10</v>
      </c>
      <c r="P168" t="s">
        <v>28</v>
      </c>
      <c r="Q168">
        <v>2023</v>
      </c>
    </row>
    <row r="169" spans="1:17" x14ac:dyDescent="0.25">
      <c r="A169">
        <v>168</v>
      </c>
      <c r="B169" t="s">
        <v>37</v>
      </c>
      <c r="C169" t="s">
        <v>25</v>
      </c>
      <c r="D169" t="s">
        <v>19</v>
      </c>
      <c r="E169" t="s">
        <v>33</v>
      </c>
      <c r="F169">
        <v>1775</v>
      </c>
      <c r="G169">
        <v>10</v>
      </c>
      <c r="H169">
        <v>12</v>
      </c>
      <c r="I169">
        <v>21300</v>
      </c>
      <c r="J169">
        <v>1917</v>
      </c>
      <c r="K169">
        <v>19383</v>
      </c>
      <c r="L169">
        <v>5325</v>
      </c>
      <c r="M169">
        <v>14058</v>
      </c>
      <c r="N169" s="4">
        <v>45231</v>
      </c>
      <c r="O169">
        <v>11</v>
      </c>
      <c r="P169" t="s">
        <v>21</v>
      </c>
      <c r="Q169">
        <v>2023</v>
      </c>
    </row>
    <row r="170" spans="1:17" x14ac:dyDescent="0.25">
      <c r="A170">
        <v>169</v>
      </c>
      <c r="B170" t="s">
        <v>37</v>
      </c>
      <c r="C170" t="s">
        <v>46</v>
      </c>
      <c r="D170" t="s">
        <v>19</v>
      </c>
      <c r="E170" t="s">
        <v>34</v>
      </c>
      <c r="F170">
        <v>386</v>
      </c>
      <c r="G170">
        <v>10</v>
      </c>
      <c r="H170">
        <v>12</v>
      </c>
      <c r="I170">
        <v>4632</v>
      </c>
      <c r="J170">
        <v>463.2</v>
      </c>
      <c r="K170">
        <v>4168.8</v>
      </c>
      <c r="L170">
        <v>1158</v>
      </c>
      <c r="M170">
        <v>3010.8</v>
      </c>
      <c r="N170" s="4">
        <v>45200</v>
      </c>
      <c r="O170">
        <v>10</v>
      </c>
      <c r="P170" t="s">
        <v>28</v>
      </c>
      <c r="Q170">
        <v>2023</v>
      </c>
    </row>
    <row r="171" spans="1:17" x14ac:dyDescent="0.25">
      <c r="A171">
        <v>170</v>
      </c>
      <c r="B171" t="s">
        <v>39</v>
      </c>
      <c r="C171" t="s">
        <v>22</v>
      </c>
      <c r="D171" t="s">
        <v>19</v>
      </c>
      <c r="E171" t="s">
        <v>34</v>
      </c>
      <c r="F171">
        <v>2167</v>
      </c>
      <c r="G171">
        <v>10</v>
      </c>
      <c r="H171">
        <v>15</v>
      </c>
      <c r="I171">
        <v>32505</v>
      </c>
      <c r="J171">
        <v>3250.5</v>
      </c>
      <c r="K171">
        <v>29254.5</v>
      </c>
      <c r="L171">
        <v>21670</v>
      </c>
      <c r="M171">
        <v>7584.5</v>
      </c>
      <c r="N171" s="4">
        <v>45200</v>
      </c>
      <c r="O171">
        <v>10</v>
      </c>
      <c r="P171" t="s">
        <v>28</v>
      </c>
      <c r="Q171">
        <v>2023</v>
      </c>
    </row>
    <row r="172" spans="1:17" x14ac:dyDescent="0.25">
      <c r="A172">
        <v>171</v>
      </c>
      <c r="B172" t="s">
        <v>37</v>
      </c>
      <c r="C172" t="s">
        <v>22</v>
      </c>
      <c r="D172" t="s">
        <v>19</v>
      </c>
      <c r="E172" t="s">
        <v>34</v>
      </c>
      <c r="F172">
        <v>1198</v>
      </c>
      <c r="G172">
        <v>10</v>
      </c>
      <c r="H172">
        <v>12</v>
      </c>
      <c r="I172">
        <v>14376</v>
      </c>
      <c r="J172">
        <v>1581.36</v>
      </c>
      <c r="K172">
        <v>12794.64</v>
      </c>
      <c r="L172">
        <v>3594</v>
      </c>
      <c r="M172">
        <v>9200.64</v>
      </c>
      <c r="N172" s="4">
        <v>45200</v>
      </c>
      <c r="O172">
        <v>10</v>
      </c>
      <c r="P172" t="s">
        <v>28</v>
      </c>
      <c r="Q172">
        <v>2023</v>
      </c>
    </row>
    <row r="173" spans="1:17" x14ac:dyDescent="0.25">
      <c r="A173">
        <v>172</v>
      </c>
      <c r="B173" t="s">
        <v>39</v>
      </c>
      <c r="C173" t="s">
        <v>30</v>
      </c>
      <c r="D173" t="s">
        <v>19</v>
      </c>
      <c r="E173" t="s">
        <v>34</v>
      </c>
      <c r="F173">
        <v>380</v>
      </c>
      <c r="G173">
        <v>10</v>
      </c>
      <c r="H173">
        <v>15</v>
      </c>
      <c r="I173">
        <v>5700</v>
      </c>
      <c r="J173">
        <v>684</v>
      </c>
      <c r="K173">
        <v>5016</v>
      </c>
      <c r="L173">
        <v>3800</v>
      </c>
      <c r="M173">
        <v>1216</v>
      </c>
      <c r="N173" s="4">
        <v>45261</v>
      </c>
      <c r="O173">
        <v>12</v>
      </c>
      <c r="P173" t="s">
        <v>29</v>
      </c>
      <c r="Q173">
        <v>2023</v>
      </c>
    </row>
    <row r="174" spans="1:17" x14ac:dyDescent="0.25">
      <c r="A174">
        <v>173</v>
      </c>
      <c r="B174" t="s">
        <v>39</v>
      </c>
      <c r="C174" t="s">
        <v>18</v>
      </c>
      <c r="D174" t="s">
        <v>19</v>
      </c>
      <c r="E174" t="s">
        <v>34</v>
      </c>
      <c r="F174">
        <v>2470</v>
      </c>
      <c r="G174">
        <v>10</v>
      </c>
      <c r="H174">
        <v>15</v>
      </c>
      <c r="I174">
        <v>37050</v>
      </c>
      <c r="J174">
        <v>5187</v>
      </c>
      <c r="K174">
        <v>31863</v>
      </c>
      <c r="L174">
        <v>24700</v>
      </c>
      <c r="M174">
        <v>7163</v>
      </c>
      <c r="N174" s="4">
        <v>45170</v>
      </c>
      <c r="O174">
        <v>9</v>
      </c>
      <c r="P174" t="s">
        <v>24</v>
      </c>
      <c r="Q174">
        <v>2023</v>
      </c>
    </row>
    <row r="175" spans="1:17" x14ac:dyDescent="0.25">
      <c r="A175">
        <v>174</v>
      </c>
      <c r="B175" t="s">
        <v>39</v>
      </c>
      <c r="C175" t="s">
        <v>18</v>
      </c>
      <c r="D175" t="s">
        <v>19</v>
      </c>
      <c r="E175" t="s">
        <v>34</v>
      </c>
      <c r="F175">
        <v>1743</v>
      </c>
      <c r="G175">
        <v>10</v>
      </c>
      <c r="H175">
        <v>15</v>
      </c>
      <c r="I175">
        <v>26145</v>
      </c>
      <c r="J175">
        <v>3660.3</v>
      </c>
      <c r="K175">
        <v>22484.7</v>
      </c>
      <c r="L175">
        <v>17430</v>
      </c>
      <c r="M175">
        <v>5054.7</v>
      </c>
      <c r="N175" s="4">
        <v>45200</v>
      </c>
      <c r="O175">
        <v>10</v>
      </c>
      <c r="P175" t="s">
        <v>28</v>
      </c>
      <c r="Q175">
        <v>2023</v>
      </c>
    </row>
    <row r="176" spans="1:17" x14ac:dyDescent="0.25">
      <c r="A176">
        <v>175</v>
      </c>
      <c r="B176" t="s">
        <v>37</v>
      </c>
      <c r="C176" t="s">
        <v>18</v>
      </c>
      <c r="D176" t="s">
        <v>19</v>
      </c>
      <c r="E176" t="s">
        <v>34</v>
      </c>
      <c r="F176">
        <v>2222</v>
      </c>
      <c r="G176">
        <v>10</v>
      </c>
      <c r="H176">
        <v>12</v>
      </c>
      <c r="I176">
        <v>26664</v>
      </c>
      <c r="J176">
        <v>3732.96</v>
      </c>
      <c r="K176">
        <v>22931.040000000001</v>
      </c>
      <c r="L176">
        <v>6666</v>
      </c>
      <c r="M176">
        <v>16265.04</v>
      </c>
      <c r="N176" s="4">
        <v>45231</v>
      </c>
      <c r="O176">
        <v>11</v>
      </c>
      <c r="P176" t="s">
        <v>21</v>
      </c>
      <c r="Q176">
        <v>2023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workbookViewId="0">
      <selection activeCell="O2" sqref="O2"/>
    </sheetView>
  </sheetViews>
  <sheetFormatPr defaultRowHeight="15" x14ac:dyDescent="0.25"/>
  <cols>
    <col min="1" max="1" width="12.5703125" bestFit="1" customWidth="1"/>
    <col min="2" max="2" width="14.140625" bestFit="1" customWidth="1"/>
    <col min="3" max="4" width="13.140625" bestFit="1" customWidth="1"/>
    <col min="5" max="5" width="16.28515625" bestFit="1" customWidth="1"/>
    <col min="6" max="7" width="13.140625" bestFit="1" customWidth="1"/>
    <col min="8" max="8" width="13.85546875" bestFit="1" customWidth="1"/>
    <col min="9" max="9" width="13.140625" bestFit="1" customWidth="1"/>
    <col min="10" max="10" width="13.85546875" bestFit="1" customWidth="1"/>
    <col min="11" max="11" width="12.5703125" bestFit="1" customWidth="1"/>
    <col min="12" max="13" width="11" customWidth="1"/>
    <col min="14" max="14" width="8" customWidth="1"/>
    <col min="15" max="15" width="12" customWidth="1"/>
    <col min="16" max="16" width="11.28515625" customWidth="1"/>
    <col min="17" max="21" width="16.28515625" bestFit="1" customWidth="1"/>
    <col min="22" max="22" width="17.7109375" bestFit="1" customWidth="1"/>
    <col min="23" max="23" width="18.28515625" bestFit="1" customWidth="1"/>
  </cols>
  <sheetData>
    <row r="1" spans="1:8" x14ac:dyDescent="0.25">
      <c r="A1" s="1" t="s">
        <v>40</v>
      </c>
      <c r="B1" s="9" t="s">
        <v>42</v>
      </c>
      <c r="D1" s="1" t="s">
        <v>40</v>
      </c>
      <c r="E1" t="s">
        <v>42</v>
      </c>
      <c r="G1" s="1" t="s">
        <v>40</v>
      </c>
      <c r="H1" t="s">
        <v>44</v>
      </c>
    </row>
    <row r="2" spans="1:8" x14ac:dyDescent="0.25">
      <c r="A2" s="2" t="s">
        <v>34</v>
      </c>
      <c r="B2" s="5">
        <v>9554286.7799999993</v>
      </c>
      <c r="D2" s="2" t="s">
        <v>31</v>
      </c>
      <c r="E2" s="5">
        <v>3519132.5300000003</v>
      </c>
      <c r="G2" s="2" t="s">
        <v>31</v>
      </c>
      <c r="H2" s="5">
        <v>781949.53</v>
      </c>
    </row>
    <row r="3" spans="1:8" x14ac:dyDescent="0.25">
      <c r="A3" s="2" t="s">
        <v>27</v>
      </c>
      <c r="B3" s="5">
        <v>6836698.0300000003</v>
      </c>
      <c r="D3" s="2" t="s">
        <v>35</v>
      </c>
      <c r="E3" s="5">
        <v>1406865.8599999999</v>
      </c>
      <c r="G3" s="2" t="s">
        <v>35</v>
      </c>
      <c r="H3" s="5">
        <v>38768.86</v>
      </c>
    </row>
    <row r="4" spans="1:8" x14ac:dyDescent="0.25">
      <c r="A4" s="2" t="s">
        <v>33</v>
      </c>
      <c r="B4" s="5">
        <v>8511961.7000000011</v>
      </c>
      <c r="D4" s="2" t="s">
        <v>32</v>
      </c>
      <c r="E4" s="5">
        <v>3975783.04</v>
      </c>
      <c r="G4" s="2" t="s">
        <v>32</v>
      </c>
      <c r="H4" s="5">
        <v>457758.04000000004</v>
      </c>
    </row>
    <row r="5" spans="1:8" x14ac:dyDescent="0.25">
      <c r="A5" s="2" t="s">
        <v>20</v>
      </c>
      <c r="B5" s="5">
        <v>1512309</v>
      </c>
      <c r="D5" s="2" t="s">
        <v>19</v>
      </c>
      <c r="E5" s="5">
        <v>5914747.0899999999</v>
      </c>
      <c r="G5" s="2" t="s">
        <v>19</v>
      </c>
      <c r="H5" s="5">
        <v>1099853.0899999999</v>
      </c>
    </row>
    <row r="6" spans="1:8" x14ac:dyDescent="0.25">
      <c r="A6" s="2" t="s">
        <v>41</v>
      </c>
      <c r="B6" s="5">
        <v>26415255.509999998</v>
      </c>
      <c r="D6" s="2" t="s">
        <v>26</v>
      </c>
      <c r="E6" s="5">
        <v>6197299.7599999998</v>
      </c>
      <c r="G6" s="2" t="s">
        <v>26</v>
      </c>
      <c r="H6" s="5">
        <v>621949.76</v>
      </c>
    </row>
    <row r="7" spans="1:8" x14ac:dyDescent="0.25">
      <c r="D7" s="2" t="s">
        <v>23</v>
      </c>
      <c r="E7" s="5">
        <v>5401427.2300000004</v>
      </c>
      <c r="G7" s="2" t="s">
        <v>23</v>
      </c>
      <c r="H7" s="5">
        <v>878185.2300000001</v>
      </c>
    </row>
    <row r="8" spans="1:8" x14ac:dyDescent="0.25">
      <c r="D8" s="2" t="s">
        <v>41</v>
      </c>
      <c r="E8" s="5">
        <v>26415255.510000002</v>
      </c>
      <c r="G8" s="2" t="s">
        <v>41</v>
      </c>
      <c r="H8" s="5">
        <v>3878464.5100000002</v>
      </c>
    </row>
    <row r="10" spans="1:8" x14ac:dyDescent="0.25">
      <c r="D10" s="1" t="s">
        <v>40</v>
      </c>
      <c r="E10" t="s">
        <v>42</v>
      </c>
      <c r="G10" s="1" t="s">
        <v>40</v>
      </c>
      <c r="H10" t="s">
        <v>42</v>
      </c>
    </row>
    <row r="11" spans="1:8" x14ac:dyDescent="0.25">
      <c r="D11" s="2" t="s">
        <v>30</v>
      </c>
      <c r="E11" s="5">
        <v>4754421.2599999988</v>
      </c>
      <c r="G11" s="2" t="s">
        <v>37</v>
      </c>
      <c r="H11" s="5">
        <v>398090.27999999997</v>
      </c>
    </row>
    <row r="12" spans="1:8" x14ac:dyDescent="0.25">
      <c r="D12" s="2" t="s">
        <v>46</v>
      </c>
      <c r="E12" s="5">
        <v>5124414.83</v>
      </c>
      <c r="G12" s="2" t="s">
        <v>39</v>
      </c>
      <c r="H12" s="5">
        <v>546243.45000000007</v>
      </c>
    </row>
    <row r="13" spans="1:8" x14ac:dyDescent="0.25">
      <c r="D13" s="2" t="s">
        <v>22</v>
      </c>
      <c r="E13" s="5">
        <v>5132795.17</v>
      </c>
      <c r="G13" s="2" t="s">
        <v>36</v>
      </c>
      <c r="H13" s="5">
        <v>4049562.5</v>
      </c>
    </row>
    <row r="14" spans="1:8" x14ac:dyDescent="0.25">
      <c r="D14" s="2" t="s">
        <v>18</v>
      </c>
      <c r="E14" s="5">
        <v>5175888.7800000012</v>
      </c>
      <c r="G14" s="2" t="s">
        <v>38</v>
      </c>
      <c r="H14" s="5">
        <v>8335674</v>
      </c>
    </row>
    <row r="15" spans="1:8" x14ac:dyDescent="0.25">
      <c r="D15" s="2" t="s">
        <v>25</v>
      </c>
      <c r="E15" s="5">
        <v>6227735.4699999997</v>
      </c>
      <c r="G15" s="2" t="s">
        <v>17</v>
      </c>
      <c r="H15" s="5">
        <v>13085685.280000001</v>
      </c>
    </row>
    <row r="16" spans="1:8" x14ac:dyDescent="0.25">
      <c r="D16" s="2" t="s">
        <v>41</v>
      </c>
      <c r="E16" s="5">
        <v>26415255.509999998</v>
      </c>
      <c r="G16" s="2" t="s">
        <v>41</v>
      </c>
      <c r="H16" s="5">
        <v>26415255.510000002</v>
      </c>
    </row>
    <row r="18" spans="1:8" x14ac:dyDescent="0.25">
      <c r="G18" s="1" t="s">
        <v>40</v>
      </c>
      <c r="H18" t="s">
        <v>42</v>
      </c>
    </row>
    <row r="19" spans="1:8" x14ac:dyDescent="0.25">
      <c r="G19" s="2" t="s">
        <v>24</v>
      </c>
      <c r="H19" s="5">
        <v>4484000.0299999993</v>
      </c>
    </row>
    <row r="20" spans="1:8" x14ac:dyDescent="0.25">
      <c r="G20" s="2" t="s">
        <v>28</v>
      </c>
      <c r="H20" s="5">
        <v>9295611.0999999978</v>
      </c>
    </row>
    <row r="21" spans="1:8" x14ac:dyDescent="0.25">
      <c r="A21" t="s">
        <v>42</v>
      </c>
      <c r="C21" s="1" t="s">
        <v>40</v>
      </c>
      <c r="D21" s="1" t="s">
        <v>40</v>
      </c>
      <c r="E21" s="1" t="s">
        <v>40</v>
      </c>
      <c r="G21" s="2" t="s">
        <v>21</v>
      </c>
      <c r="H21" s="5">
        <v>7267203.2999999998</v>
      </c>
    </row>
    <row r="22" spans="1:8" x14ac:dyDescent="0.25">
      <c r="A22" s="3">
        <v>26415255.509999998</v>
      </c>
      <c r="C22" s="2" t="s">
        <v>31</v>
      </c>
      <c r="D22" s="2" t="s">
        <v>18</v>
      </c>
      <c r="E22" s="2" t="s">
        <v>37</v>
      </c>
      <c r="G22" s="2" t="s">
        <v>29</v>
      </c>
      <c r="H22" s="5">
        <v>5368441.08</v>
      </c>
    </row>
    <row r="23" spans="1:8" x14ac:dyDescent="0.25">
      <c r="A23" t="s">
        <v>44</v>
      </c>
      <c r="C23" s="2" t="s">
        <v>35</v>
      </c>
      <c r="D23" s="2" t="s">
        <v>22</v>
      </c>
      <c r="E23" s="2" t="s">
        <v>36</v>
      </c>
      <c r="G23" s="2" t="s">
        <v>41</v>
      </c>
      <c r="H23" s="5">
        <v>26415255.509999998</v>
      </c>
    </row>
    <row r="24" spans="1:8" x14ac:dyDescent="0.25">
      <c r="A24" s="3">
        <v>3878464.5100000021</v>
      </c>
      <c r="C24" s="2" t="s">
        <v>32</v>
      </c>
      <c r="D24" s="2" t="s">
        <v>25</v>
      </c>
      <c r="E24" s="2" t="s">
        <v>17</v>
      </c>
    </row>
    <row r="25" spans="1:8" x14ac:dyDescent="0.25">
      <c r="A25" t="s">
        <v>43</v>
      </c>
      <c r="C25" s="2" t="s">
        <v>19</v>
      </c>
      <c r="D25" s="2" t="s">
        <v>30</v>
      </c>
      <c r="E25" s="2" t="s">
        <v>39</v>
      </c>
    </row>
    <row r="26" spans="1:8" x14ac:dyDescent="0.25">
      <c r="A26" s="3">
        <v>28560787</v>
      </c>
      <c r="C26" s="2" t="s">
        <v>26</v>
      </c>
      <c r="D26" s="2" t="s">
        <v>46</v>
      </c>
      <c r="E26" s="2" t="s">
        <v>38</v>
      </c>
    </row>
    <row r="27" spans="1:8" x14ac:dyDescent="0.25">
      <c r="A27" t="s">
        <v>45</v>
      </c>
      <c r="C27" s="2" t="s">
        <v>23</v>
      </c>
    </row>
    <row r="28" spans="1:8" x14ac:dyDescent="0.25">
      <c r="A28" s="3">
        <v>22537091</v>
      </c>
      <c r="C28">
        <f>COUNTA(C22:C27)</f>
        <v>6</v>
      </c>
      <c r="D28">
        <f>COUNTA(D22:D26)</f>
        <v>5</v>
      </c>
      <c r="E28">
        <f>COUNTA(E22:E26)</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35"/>
  <sheetViews>
    <sheetView showGridLines="0" tabSelected="1" zoomScaleNormal="100" workbookViewId="0">
      <selection activeCell="V11" sqref="V11"/>
    </sheetView>
  </sheetViews>
  <sheetFormatPr defaultRowHeight="15" x14ac:dyDescent="0.25"/>
  <cols>
    <col min="1" max="1" width="9.140625" customWidth="1"/>
    <col min="25" max="25" width="5.7109375" customWidth="1"/>
  </cols>
  <sheetData>
    <row r="1" spans="1:24" x14ac:dyDescent="0.25">
      <c r="A1" s="8"/>
      <c r="B1" s="8"/>
      <c r="C1" s="8"/>
      <c r="D1" s="8"/>
      <c r="E1" s="8"/>
      <c r="F1" s="8"/>
      <c r="G1" s="8"/>
      <c r="H1" s="8"/>
      <c r="I1" s="8"/>
      <c r="J1" s="8"/>
      <c r="K1" s="8"/>
      <c r="L1" s="8"/>
      <c r="M1" s="8"/>
      <c r="N1" s="8"/>
      <c r="O1" s="8"/>
      <c r="P1" s="8"/>
      <c r="Q1" s="8"/>
      <c r="R1" s="8"/>
      <c r="S1" s="8"/>
    </row>
    <row r="2" spans="1:24" ht="15" customHeight="1" x14ac:dyDescent="0.25">
      <c r="A2" s="8"/>
      <c r="B2" s="8"/>
      <c r="C2" s="8"/>
      <c r="D2" s="8"/>
      <c r="E2" s="8"/>
      <c r="F2" s="8"/>
      <c r="G2" s="8"/>
      <c r="H2" s="8"/>
      <c r="I2" s="8"/>
      <c r="J2" s="8"/>
      <c r="K2" s="8"/>
      <c r="L2" s="8"/>
      <c r="M2" s="8"/>
      <c r="N2" s="8"/>
      <c r="O2" s="8"/>
      <c r="P2" s="8"/>
      <c r="Q2" s="8"/>
      <c r="R2" s="8"/>
      <c r="S2" s="8"/>
      <c r="T2" s="6"/>
      <c r="U2" s="6"/>
      <c r="V2" s="6"/>
      <c r="W2" s="6"/>
      <c r="X2" s="6"/>
    </row>
    <row r="3" spans="1:24" ht="15" customHeight="1" x14ac:dyDescent="0.25">
      <c r="A3" s="8"/>
      <c r="B3" s="8"/>
      <c r="C3" s="8"/>
      <c r="D3" s="8"/>
      <c r="E3" s="8"/>
      <c r="F3" s="8"/>
      <c r="G3" s="8"/>
      <c r="H3" s="8"/>
      <c r="I3" s="8"/>
      <c r="J3" s="8"/>
      <c r="K3" s="8"/>
      <c r="L3" s="8"/>
      <c r="M3" s="8"/>
      <c r="N3" s="8"/>
      <c r="O3" s="8"/>
      <c r="P3" s="8"/>
      <c r="Q3" s="8"/>
      <c r="R3" s="8"/>
      <c r="S3" s="8"/>
      <c r="T3" s="6"/>
      <c r="U3" s="6"/>
      <c r="V3" s="6"/>
      <c r="W3" s="6"/>
      <c r="X3" s="6"/>
    </row>
    <row r="4" spans="1:24" ht="15" customHeight="1" x14ac:dyDescent="0.25">
      <c r="A4" s="8"/>
      <c r="B4" s="8"/>
      <c r="C4" s="8"/>
      <c r="D4" s="8"/>
      <c r="E4" s="8"/>
      <c r="F4" s="8"/>
      <c r="G4" s="8"/>
      <c r="H4" s="8"/>
      <c r="I4" s="8"/>
      <c r="J4" s="8"/>
      <c r="K4" s="8"/>
      <c r="L4" s="8"/>
      <c r="M4" s="8"/>
      <c r="N4" s="8"/>
      <c r="O4" s="8"/>
      <c r="P4" s="8"/>
      <c r="Q4" s="8"/>
      <c r="R4" s="8"/>
      <c r="S4" s="8"/>
      <c r="T4" s="6"/>
      <c r="U4" s="6"/>
      <c r="V4" s="6"/>
      <c r="W4" s="6"/>
      <c r="X4" s="6"/>
    </row>
    <row r="5" spans="1:24" x14ac:dyDescent="0.25">
      <c r="A5" s="8"/>
      <c r="B5" s="8"/>
      <c r="C5" s="8"/>
      <c r="D5" s="8"/>
      <c r="E5" s="8"/>
      <c r="F5" s="8"/>
      <c r="G5" s="8"/>
      <c r="H5" s="8"/>
      <c r="I5" s="8"/>
      <c r="J5" s="8"/>
      <c r="K5" s="8"/>
      <c r="L5" s="8"/>
      <c r="M5" s="8"/>
      <c r="N5" s="8"/>
      <c r="O5" s="8"/>
      <c r="P5" s="8"/>
      <c r="Q5" s="8"/>
      <c r="R5" s="8"/>
      <c r="S5" s="8"/>
    </row>
    <row r="6" spans="1:24" x14ac:dyDescent="0.25">
      <c r="A6" s="8"/>
      <c r="B6" s="8"/>
      <c r="C6" s="8"/>
      <c r="D6" s="8"/>
      <c r="E6" s="8"/>
      <c r="F6" s="8"/>
      <c r="G6" s="8"/>
      <c r="H6" s="8"/>
      <c r="I6" s="8"/>
      <c r="J6" s="8"/>
      <c r="K6" s="8"/>
      <c r="L6" s="8"/>
      <c r="M6" s="8"/>
      <c r="N6" s="8"/>
      <c r="O6" s="8"/>
      <c r="P6" s="8"/>
      <c r="Q6" s="8"/>
      <c r="R6" s="8"/>
      <c r="S6" s="8"/>
    </row>
    <row r="7" spans="1:24" x14ac:dyDescent="0.25">
      <c r="A7" s="8"/>
      <c r="B7" s="8"/>
      <c r="C7" s="8"/>
      <c r="D7" s="8"/>
      <c r="E7" s="8"/>
      <c r="F7" s="8"/>
      <c r="G7" s="8"/>
      <c r="H7" s="8"/>
      <c r="I7" s="8"/>
      <c r="J7" s="8"/>
      <c r="K7" s="8"/>
      <c r="L7" s="8"/>
      <c r="M7" s="8"/>
      <c r="N7" s="8"/>
      <c r="O7" s="8"/>
      <c r="P7" s="8"/>
      <c r="Q7" s="8"/>
      <c r="R7" s="8"/>
      <c r="S7" s="8"/>
    </row>
    <row r="8" spans="1:24" x14ac:dyDescent="0.25">
      <c r="A8" s="8"/>
      <c r="B8" s="8"/>
      <c r="C8" s="8"/>
      <c r="D8" s="8"/>
      <c r="E8" s="8"/>
      <c r="F8" s="8"/>
      <c r="G8" s="8"/>
      <c r="H8" s="8"/>
      <c r="I8" s="8"/>
      <c r="J8" s="8"/>
      <c r="K8" s="8"/>
      <c r="L8" s="8"/>
      <c r="M8" s="8"/>
      <c r="N8" s="8"/>
      <c r="O8" s="8"/>
      <c r="P8" s="8"/>
      <c r="Q8" s="8"/>
      <c r="R8" s="8"/>
      <c r="S8" s="8"/>
    </row>
    <row r="9" spans="1:24" x14ac:dyDescent="0.25">
      <c r="A9" s="8"/>
      <c r="B9" s="8"/>
      <c r="C9" s="8"/>
      <c r="D9" s="8"/>
      <c r="E9" s="8"/>
      <c r="F9" s="8"/>
      <c r="G9" s="8"/>
      <c r="H9" s="8"/>
      <c r="I9" s="8"/>
      <c r="J9" s="8"/>
      <c r="K9" s="8"/>
      <c r="L9" s="8"/>
      <c r="M9" s="8"/>
      <c r="N9" s="8"/>
      <c r="O9" s="8"/>
      <c r="P9" s="8"/>
      <c r="Q9" s="8"/>
      <c r="R9" s="8"/>
      <c r="S9" s="8"/>
    </row>
    <row r="10" spans="1:24" x14ac:dyDescent="0.25">
      <c r="A10" s="8"/>
      <c r="B10" s="8"/>
      <c r="C10" s="8"/>
      <c r="D10" s="8"/>
      <c r="E10" s="8"/>
      <c r="F10" s="8"/>
      <c r="G10" s="8"/>
      <c r="H10" s="8"/>
      <c r="I10" s="8"/>
      <c r="J10" s="8"/>
      <c r="K10" s="8"/>
      <c r="L10" s="8"/>
      <c r="M10" s="8"/>
      <c r="N10" s="8"/>
      <c r="O10" s="8"/>
      <c r="P10" s="8"/>
      <c r="Q10" s="8"/>
      <c r="R10" s="8"/>
      <c r="S10" s="8"/>
    </row>
    <row r="11" spans="1:24" x14ac:dyDescent="0.25">
      <c r="A11" s="8"/>
      <c r="B11" s="8"/>
      <c r="C11" s="8"/>
      <c r="D11" s="8"/>
      <c r="E11" s="8"/>
      <c r="F11" s="8"/>
      <c r="G11" s="8"/>
      <c r="H11" s="8"/>
      <c r="I11" s="8"/>
      <c r="J11" s="8"/>
      <c r="K11" s="8"/>
      <c r="L11" s="8"/>
      <c r="M11" s="8"/>
      <c r="N11" s="8"/>
      <c r="O11" s="8"/>
      <c r="P11" s="8"/>
      <c r="Q11" s="8"/>
      <c r="R11" s="8"/>
      <c r="S11" s="8"/>
    </row>
    <row r="12" spans="1:24" x14ac:dyDescent="0.25">
      <c r="A12" s="8"/>
      <c r="B12" s="8"/>
      <c r="C12" s="8"/>
      <c r="D12" s="8"/>
      <c r="E12" s="8"/>
      <c r="F12" s="8"/>
      <c r="G12" s="8"/>
      <c r="H12" s="8"/>
      <c r="I12" s="8"/>
      <c r="J12" s="8"/>
      <c r="K12" s="8"/>
      <c r="L12" s="8"/>
      <c r="M12" s="8"/>
      <c r="N12" s="8"/>
      <c r="O12" s="8"/>
      <c r="P12" s="8"/>
      <c r="Q12" s="8"/>
      <c r="R12" s="8"/>
      <c r="S12" s="8"/>
    </row>
    <row r="13" spans="1:24" x14ac:dyDescent="0.25">
      <c r="A13" s="8"/>
      <c r="B13" s="8"/>
      <c r="C13" s="8"/>
      <c r="D13" s="8"/>
      <c r="E13" s="8"/>
      <c r="F13" s="8"/>
      <c r="G13" s="8"/>
      <c r="H13" s="8"/>
      <c r="I13" s="8"/>
      <c r="J13" s="8"/>
      <c r="K13" s="8"/>
      <c r="L13" s="8"/>
      <c r="M13" s="8"/>
      <c r="N13" s="8"/>
      <c r="O13" s="8"/>
      <c r="P13" s="8"/>
      <c r="Q13" s="8"/>
      <c r="R13" s="8"/>
      <c r="S13" s="8"/>
    </row>
    <row r="14" spans="1:24" x14ac:dyDescent="0.25">
      <c r="A14" s="8"/>
      <c r="B14" s="8"/>
      <c r="C14" s="8"/>
      <c r="D14" s="8"/>
      <c r="E14" s="8"/>
      <c r="F14" s="8"/>
      <c r="G14" s="8"/>
      <c r="H14" s="8"/>
      <c r="I14" s="8"/>
      <c r="J14" s="8"/>
      <c r="K14" s="8"/>
      <c r="L14" s="8"/>
      <c r="M14" s="8"/>
      <c r="N14" s="8"/>
      <c r="O14" s="8"/>
      <c r="P14" s="8"/>
      <c r="Q14" s="8"/>
      <c r="R14" s="8"/>
      <c r="S14" s="8"/>
    </row>
    <row r="15" spans="1:24" x14ac:dyDescent="0.25">
      <c r="A15" s="8"/>
      <c r="B15" s="8"/>
      <c r="C15" s="8"/>
      <c r="D15" s="8"/>
      <c r="E15" s="8"/>
      <c r="F15" s="8"/>
      <c r="G15" s="8"/>
      <c r="H15" s="8"/>
      <c r="I15" s="8"/>
      <c r="J15" s="8"/>
      <c r="K15" s="8"/>
      <c r="L15" s="8"/>
      <c r="M15" s="8"/>
      <c r="N15" s="8"/>
      <c r="O15" s="8"/>
      <c r="P15" s="8"/>
      <c r="Q15" s="8"/>
      <c r="R15" s="8"/>
      <c r="S15" s="8"/>
    </row>
    <row r="16" spans="1:24" x14ac:dyDescent="0.25">
      <c r="A16" s="8"/>
      <c r="B16" s="8"/>
      <c r="C16" s="8"/>
      <c r="D16" s="8"/>
      <c r="E16" s="8"/>
      <c r="F16" s="8"/>
      <c r="G16" s="8"/>
      <c r="H16" s="8"/>
      <c r="I16" s="8"/>
      <c r="J16" s="8"/>
      <c r="K16" s="8"/>
      <c r="L16" s="8"/>
      <c r="M16" s="8"/>
      <c r="N16" s="8"/>
      <c r="O16" s="8"/>
      <c r="P16" s="8"/>
      <c r="Q16" s="8"/>
      <c r="R16" s="8"/>
      <c r="S16" s="8"/>
    </row>
    <row r="17" spans="1:19" x14ac:dyDescent="0.25">
      <c r="A17" s="8"/>
      <c r="B17" s="8"/>
      <c r="C17" s="8"/>
      <c r="D17" s="8"/>
      <c r="E17" s="8"/>
      <c r="F17" s="8"/>
      <c r="G17" s="8"/>
      <c r="H17" s="8"/>
      <c r="I17" s="8"/>
      <c r="J17" s="8"/>
      <c r="K17" s="8"/>
      <c r="L17" s="8"/>
      <c r="M17" s="8"/>
      <c r="N17" s="8"/>
      <c r="O17" s="8"/>
      <c r="P17" s="8"/>
      <c r="Q17" s="8"/>
      <c r="R17" s="8"/>
      <c r="S17" s="8"/>
    </row>
    <row r="18" spans="1:19" x14ac:dyDescent="0.25">
      <c r="A18" s="8"/>
      <c r="B18" s="8"/>
      <c r="C18" s="8"/>
      <c r="D18" s="8"/>
      <c r="E18" s="8"/>
      <c r="F18" s="8"/>
      <c r="G18" s="8"/>
      <c r="H18" s="8"/>
      <c r="I18" s="8"/>
      <c r="J18" s="8"/>
      <c r="K18" s="8"/>
      <c r="L18" s="8"/>
      <c r="M18" s="8"/>
      <c r="N18" s="8"/>
      <c r="O18" s="8"/>
      <c r="P18" s="8"/>
      <c r="Q18" s="8"/>
      <c r="R18" s="8"/>
      <c r="S18" s="8"/>
    </row>
    <row r="19" spans="1:19" x14ac:dyDescent="0.25">
      <c r="A19" s="8"/>
      <c r="B19" s="8"/>
      <c r="C19" s="8"/>
      <c r="D19" s="8"/>
      <c r="E19" s="8"/>
      <c r="F19" s="8"/>
      <c r="G19" s="8"/>
      <c r="H19" s="8"/>
      <c r="I19" s="8"/>
      <c r="J19" s="8"/>
      <c r="K19" s="8"/>
      <c r="L19" s="8"/>
      <c r="M19" s="8"/>
      <c r="N19" s="8"/>
      <c r="O19" s="8"/>
      <c r="P19" s="8"/>
      <c r="Q19" s="8"/>
      <c r="R19" s="8"/>
      <c r="S19" s="8"/>
    </row>
    <row r="20" spans="1:19" x14ac:dyDescent="0.25">
      <c r="A20" s="8"/>
      <c r="B20" s="8"/>
      <c r="C20" s="8"/>
      <c r="D20" s="8"/>
      <c r="E20" s="8"/>
      <c r="F20" s="8"/>
      <c r="G20" s="8"/>
      <c r="H20" s="8"/>
      <c r="I20" s="8"/>
      <c r="J20" s="8"/>
      <c r="K20" s="8"/>
      <c r="L20" s="8"/>
      <c r="M20" s="8"/>
      <c r="N20" s="8"/>
      <c r="O20" s="8"/>
      <c r="P20" s="8"/>
      <c r="Q20" s="8"/>
      <c r="R20" s="8"/>
      <c r="S20" s="8"/>
    </row>
    <row r="21" spans="1:19" x14ac:dyDescent="0.25">
      <c r="A21" s="8"/>
      <c r="B21" s="8"/>
      <c r="C21" s="8"/>
      <c r="D21" s="8"/>
      <c r="E21" s="8"/>
      <c r="F21" s="8"/>
      <c r="G21" s="8"/>
      <c r="H21" s="8"/>
      <c r="I21" s="8"/>
      <c r="J21" s="8"/>
      <c r="K21" s="8"/>
      <c r="L21" s="8"/>
      <c r="M21" s="8"/>
      <c r="N21" s="8"/>
      <c r="O21" s="8"/>
      <c r="P21" s="8"/>
      <c r="Q21" s="8"/>
      <c r="R21" s="8"/>
      <c r="S21" s="8"/>
    </row>
    <row r="22" spans="1:19" x14ac:dyDescent="0.25">
      <c r="A22" s="8"/>
      <c r="B22" s="8"/>
      <c r="C22" s="8"/>
      <c r="D22" s="8"/>
      <c r="E22" s="8"/>
      <c r="F22" s="8"/>
      <c r="G22" s="8"/>
      <c r="H22" s="8"/>
      <c r="I22" s="8"/>
      <c r="J22" s="8"/>
      <c r="K22" s="8"/>
      <c r="L22" s="8"/>
      <c r="M22" s="8"/>
      <c r="N22" s="8"/>
      <c r="O22" s="8"/>
      <c r="P22" s="8"/>
      <c r="Q22" s="8"/>
      <c r="R22" s="8"/>
      <c r="S22" s="8"/>
    </row>
    <row r="23" spans="1:19" x14ac:dyDescent="0.25">
      <c r="A23" s="8"/>
      <c r="B23" s="8"/>
      <c r="C23" s="8"/>
      <c r="D23" s="8"/>
      <c r="E23" s="8"/>
      <c r="F23" s="8"/>
      <c r="G23" s="8"/>
      <c r="H23" s="8"/>
      <c r="I23" s="8"/>
      <c r="J23" s="8"/>
      <c r="K23" s="8"/>
      <c r="L23" s="8"/>
      <c r="M23" s="8"/>
      <c r="N23" s="8"/>
      <c r="O23" s="8"/>
      <c r="P23" s="8"/>
      <c r="Q23" s="8"/>
      <c r="R23" s="8"/>
      <c r="S23" s="8"/>
    </row>
    <row r="24" spans="1:19" x14ac:dyDescent="0.25">
      <c r="A24" s="8"/>
      <c r="B24" s="8"/>
      <c r="C24" s="8"/>
      <c r="D24" s="8"/>
      <c r="E24" s="8"/>
      <c r="F24" s="8"/>
      <c r="G24" s="8"/>
      <c r="H24" s="8"/>
      <c r="I24" s="8"/>
      <c r="J24" s="8"/>
      <c r="K24" s="8"/>
      <c r="L24" s="8"/>
      <c r="M24" s="8"/>
      <c r="N24" s="8"/>
      <c r="O24" s="8"/>
      <c r="P24" s="8"/>
      <c r="Q24" s="8"/>
      <c r="R24" s="8"/>
      <c r="S24" s="8"/>
    </row>
    <row r="25" spans="1:19" x14ac:dyDescent="0.25">
      <c r="A25" s="8"/>
      <c r="B25" s="8"/>
      <c r="C25" s="8"/>
      <c r="D25" s="8"/>
      <c r="E25" s="8"/>
      <c r="F25" s="8"/>
      <c r="G25" s="8"/>
      <c r="H25" s="8"/>
      <c r="I25" s="8"/>
      <c r="J25" s="8"/>
      <c r="K25" s="8"/>
      <c r="L25" s="8"/>
      <c r="M25" s="8"/>
      <c r="N25" s="8"/>
      <c r="O25" s="8"/>
      <c r="P25" s="8"/>
      <c r="Q25" s="8"/>
      <c r="R25" s="8"/>
      <c r="S25" s="8"/>
    </row>
    <row r="26" spans="1:19" x14ac:dyDescent="0.25">
      <c r="A26" s="8"/>
      <c r="B26" s="8"/>
      <c r="C26" s="8"/>
      <c r="D26" s="8"/>
      <c r="E26" s="8"/>
      <c r="F26" s="8"/>
      <c r="G26" s="8"/>
      <c r="H26" s="8"/>
      <c r="I26" s="8"/>
      <c r="J26" s="8"/>
      <c r="K26" s="8"/>
      <c r="L26" s="8"/>
      <c r="M26" s="8"/>
      <c r="N26" s="8"/>
      <c r="O26" s="8"/>
      <c r="P26" s="8"/>
      <c r="Q26" s="8"/>
      <c r="R26" s="8"/>
      <c r="S26" s="8"/>
    </row>
    <row r="27" spans="1:19" x14ac:dyDescent="0.25">
      <c r="A27" s="8"/>
      <c r="B27" s="8"/>
      <c r="C27" s="8"/>
      <c r="D27" s="8"/>
      <c r="E27" s="8"/>
      <c r="F27" s="8"/>
      <c r="G27" s="8"/>
      <c r="H27" s="8"/>
      <c r="I27" s="8"/>
      <c r="J27" s="8"/>
      <c r="K27" s="8"/>
      <c r="L27" s="8"/>
      <c r="M27" s="8"/>
      <c r="N27" s="8"/>
      <c r="O27" s="8"/>
      <c r="P27" s="8"/>
      <c r="Q27" s="8"/>
      <c r="R27" s="8"/>
      <c r="S27" s="8"/>
    </row>
    <row r="28" spans="1:19" x14ac:dyDescent="0.25">
      <c r="A28" s="8"/>
      <c r="B28" s="8"/>
      <c r="C28" s="8"/>
      <c r="D28" s="8"/>
      <c r="E28" s="8"/>
      <c r="F28" s="8"/>
      <c r="G28" s="8"/>
      <c r="H28" s="8"/>
      <c r="I28" s="8"/>
      <c r="J28" s="8"/>
      <c r="K28" s="8"/>
      <c r="L28" s="8"/>
      <c r="M28" s="8"/>
      <c r="N28" s="8"/>
      <c r="O28" s="8"/>
      <c r="P28" s="8"/>
      <c r="Q28" s="8"/>
      <c r="R28" s="8"/>
      <c r="S28" s="8"/>
    </row>
    <row r="29" spans="1:19" x14ac:dyDescent="0.25">
      <c r="A29" s="8"/>
      <c r="B29" s="8"/>
      <c r="C29" s="8"/>
      <c r="D29" s="8"/>
      <c r="E29" s="8"/>
      <c r="F29" s="8"/>
      <c r="G29" s="8"/>
      <c r="H29" s="8"/>
      <c r="I29" s="8"/>
      <c r="J29" s="8"/>
      <c r="K29" s="8"/>
      <c r="L29" s="8"/>
      <c r="M29" s="8"/>
      <c r="N29" s="8"/>
      <c r="O29" s="8"/>
      <c r="P29" s="8"/>
      <c r="Q29" s="8"/>
      <c r="R29" s="8"/>
      <c r="S29" s="8"/>
    </row>
    <row r="30" spans="1:19" x14ac:dyDescent="0.25">
      <c r="A30" s="8"/>
      <c r="B30" s="8"/>
      <c r="C30" s="8"/>
      <c r="D30" s="8"/>
      <c r="E30" s="8"/>
      <c r="F30" s="8"/>
      <c r="G30" s="8"/>
      <c r="H30" s="8"/>
      <c r="I30" s="8"/>
      <c r="J30" s="8"/>
      <c r="K30" s="8"/>
      <c r="L30" s="8"/>
      <c r="M30" s="8"/>
      <c r="N30" s="8"/>
      <c r="O30" s="8"/>
      <c r="P30" s="8"/>
      <c r="Q30" s="8"/>
      <c r="R30" s="8"/>
      <c r="S30" s="8"/>
    </row>
    <row r="31" spans="1:19" x14ac:dyDescent="0.25">
      <c r="A31" s="8"/>
      <c r="B31" s="8"/>
      <c r="C31" s="8"/>
      <c r="D31" s="8"/>
      <c r="E31" s="8"/>
      <c r="F31" s="8"/>
      <c r="G31" s="8"/>
      <c r="H31" s="8"/>
      <c r="I31" s="8"/>
      <c r="J31" s="8"/>
      <c r="K31" s="8"/>
      <c r="L31" s="8"/>
      <c r="M31" s="8"/>
      <c r="N31" s="8"/>
      <c r="O31" s="8"/>
      <c r="P31" s="8"/>
      <c r="Q31" s="8"/>
      <c r="R31" s="8"/>
      <c r="S31" s="8"/>
    </row>
    <row r="32" spans="1:19" x14ac:dyDescent="0.25">
      <c r="A32" s="8"/>
      <c r="B32" s="8"/>
      <c r="C32" s="8"/>
      <c r="D32" s="8"/>
      <c r="E32" s="8"/>
      <c r="F32" s="8"/>
      <c r="G32" s="8"/>
      <c r="H32" s="8"/>
      <c r="I32" s="8"/>
      <c r="J32" s="8"/>
      <c r="K32" s="8"/>
      <c r="L32" s="8"/>
      <c r="M32" s="8"/>
      <c r="N32" s="8"/>
      <c r="O32" s="8"/>
      <c r="P32" s="8"/>
      <c r="Q32" s="8"/>
      <c r="R32" s="8"/>
      <c r="S32" s="8"/>
    </row>
    <row r="33" spans="1:19" x14ac:dyDescent="0.25">
      <c r="A33" s="8"/>
      <c r="B33" s="8"/>
      <c r="C33" s="8"/>
      <c r="D33" s="8"/>
      <c r="E33" s="8"/>
      <c r="F33" s="8"/>
      <c r="G33" s="8"/>
      <c r="H33" s="8"/>
      <c r="I33" s="8"/>
      <c r="J33" s="8"/>
      <c r="K33" s="8"/>
      <c r="L33" s="8"/>
      <c r="M33" s="8"/>
      <c r="N33" s="8"/>
      <c r="O33" s="8"/>
      <c r="P33" s="8"/>
      <c r="Q33" s="8"/>
      <c r="R33" s="8"/>
      <c r="S33" s="8"/>
    </row>
    <row r="34" spans="1:19" x14ac:dyDescent="0.25">
      <c r="A34" s="7"/>
      <c r="B34" s="7"/>
      <c r="C34" s="7"/>
      <c r="D34" s="7"/>
      <c r="E34" s="7"/>
      <c r="F34" s="7"/>
      <c r="G34" s="7"/>
      <c r="H34" s="7"/>
      <c r="I34" s="7"/>
      <c r="J34" s="7"/>
      <c r="K34" s="7"/>
      <c r="L34" s="7"/>
      <c r="M34" s="7"/>
      <c r="N34" s="7"/>
      <c r="O34" s="7"/>
      <c r="P34" s="7"/>
      <c r="Q34" s="7"/>
      <c r="R34" s="7"/>
      <c r="S34" s="7"/>
    </row>
    <row r="35" spans="1:19" x14ac:dyDescent="0.25">
      <c r="A35" s="7"/>
      <c r="B35" s="7"/>
      <c r="C35" s="7"/>
      <c r="D35" s="7"/>
      <c r="E35" s="7"/>
      <c r="F35" s="7"/>
      <c r="G35" s="7"/>
      <c r="H35" s="7"/>
      <c r="I35" s="7"/>
      <c r="J35" s="7"/>
      <c r="K35" s="7"/>
      <c r="L35" s="7"/>
      <c r="M35" s="7"/>
      <c r="N35" s="7"/>
      <c r="O35" s="7"/>
      <c r="P35" s="7"/>
      <c r="Q35" s="7"/>
      <c r="R35" s="7"/>
      <c r="S35" s="7"/>
    </row>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Sample+Financial+Dataset+2022</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ABJUNITED</dc:creator>
  <cp:lastModifiedBy>Babatunde John Adeleye</cp:lastModifiedBy>
  <cp:lastPrinted>2026-10-26T19:29:25Z</cp:lastPrinted>
  <dcterms:created xsi:type="dcterms:W3CDTF">2026-10-16T13:51:15Z</dcterms:created>
  <dcterms:modified xsi:type="dcterms:W3CDTF">2026-10-26T19:50:19Z</dcterms:modified>
</cp:coreProperties>
</file>